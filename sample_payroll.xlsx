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D3AA1EA-D0AC-464D-8D80-D64F6CB4A0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المرتبات و حوافر 2- 2025 " sheetId="9" r:id="rId1"/>
  </sheets>
  <definedNames>
    <definedName name="_xlnm._FilterDatabase" localSheetId="0" hidden="1">'المرتبات و حوافر 2- 2025 '!$I$1:$I$6181</definedName>
    <definedName name="_xlnm.Print_Area" localSheetId="0">'المرتبات و حوافر 2- 2025 '!$A$1:$AE$47</definedName>
    <definedName name="_xlnm.Print_Titles" localSheetId="0">'المرتبات و حوافر 2- 2025 '!$1:$5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9" l="1"/>
  <c r="AN46" i="9"/>
  <c r="L10" i="9" l="1"/>
  <c r="L8" i="9"/>
  <c r="L23" i="9"/>
  <c r="L9" i="9"/>
  <c r="M45" i="9"/>
  <c r="T45" i="9" s="1"/>
  <c r="M44" i="9"/>
  <c r="M43" i="9"/>
  <c r="M37" i="9"/>
  <c r="M36" i="9"/>
  <c r="Q36" i="9" s="1"/>
  <c r="U36" i="9" s="1"/>
  <c r="M35" i="9"/>
  <c r="M34" i="9"/>
  <c r="AA34" i="9" s="1"/>
  <c r="M33" i="9"/>
  <c r="Q33" i="9" s="1"/>
  <c r="U33" i="9" s="1"/>
  <c r="M32" i="9"/>
  <c r="M31" i="9"/>
  <c r="M29" i="9"/>
  <c r="AA29" i="9" s="1"/>
  <c r="M28" i="9"/>
  <c r="M27" i="9"/>
  <c r="V27" i="9" s="1"/>
  <c r="AB27" i="9" s="1"/>
  <c r="AC27" i="9" s="1"/>
  <c r="M26" i="9"/>
  <c r="AA26" i="9" s="1"/>
  <c r="M25" i="9"/>
  <c r="AA25" i="9" s="1"/>
  <c r="M22" i="9"/>
  <c r="M17" i="9"/>
  <c r="Q17" i="9" s="1"/>
  <c r="U17" i="9" s="1"/>
  <c r="M15" i="9"/>
  <c r="AA15" i="9" s="1"/>
  <c r="M14" i="9"/>
  <c r="AA14" i="9" s="1"/>
  <c r="M13" i="9"/>
  <c r="M12" i="9"/>
  <c r="M8" i="9"/>
  <c r="AA8" i="9" s="1"/>
  <c r="M7" i="9"/>
  <c r="AA7" i="9" s="1"/>
  <c r="M10" i="9"/>
  <c r="V10" i="9" s="1"/>
  <c r="AB10" i="9" s="1"/>
  <c r="AC10" i="9" s="1"/>
  <c r="L6" i="9"/>
  <c r="P42" i="9"/>
  <c r="M42" i="9"/>
  <c r="Q42" i="9" s="1"/>
  <c r="U42" i="9" s="1"/>
  <c r="K10" i="9"/>
  <c r="M11" i="9"/>
  <c r="T11" i="9" s="1"/>
  <c r="P43" i="9"/>
  <c r="K43" i="9"/>
  <c r="P44" i="9"/>
  <c r="J18" i="9"/>
  <c r="J21" i="9" s="1"/>
  <c r="J38" i="9" s="1"/>
  <c r="J41" i="9" s="1"/>
  <c r="J46" i="9" s="1"/>
  <c r="K37" i="9"/>
  <c r="P37" i="9"/>
  <c r="K44" i="9"/>
  <c r="P13" i="9"/>
  <c r="K31" i="9"/>
  <c r="K32" i="9"/>
  <c r="K33" i="9"/>
  <c r="K34" i="9"/>
  <c r="K35" i="9"/>
  <c r="K27" i="9"/>
  <c r="K28" i="9"/>
  <c r="K29" i="9"/>
  <c r="K30" i="9"/>
  <c r="K26" i="9"/>
  <c r="K24" i="9"/>
  <c r="K22" i="9"/>
  <c r="K16" i="9"/>
  <c r="K17" i="9"/>
  <c r="K15" i="9"/>
  <c r="K9" i="9"/>
  <c r="K7" i="9"/>
  <c r="K8" i="9"/>
  <c r="K6" i="9"/>
  <c r="G18" i="9"/>
  <c r="G21" i="9" s="1"/>
  <c r="G38" i="9" s="1"/>
  <c r="G41" i="9" s="1"/>
  <c r="G46" i="9" s="1"/>
  <c r="H18" i="9"/>
  <c r="H21" i="9" s="1"/>
  <c r="H38" i="9" s="1"/>
  <c r="H41" i="9" s="1"/>
  <c r="H46" i="9" s="1"/>
  <c r="P28" i="9"/>
  <c r="Q28" i="9" s="1"/>
  <c r="R28" i="9" s="1"/>
  <c r="P35" i="9"/>
  <c r="P7" i="9"/>
  <c r="P8" i="9"/>
  <c r="M9" i="9"/>
  <c r="AA9" i="9" s="1"/>
  <c r="P9" i="9"/>
  <c r="P14" i="9"/>
  <c r="N18" i="9"/>
  <c r="N21" i="9" s="1"/>
  <c r="N38" i="9" s="1"/>
  <c r="N41" i="9" s="1"/>
  <c r="N46" i="9" s="1"/>
  <c r="O18" i="9"/>
  <c r="O21" i="9" s="1"/>
  <c r="O38" i="9" s="1"/>
  <c r="O41" i="9" s="1"/>
  <c r="O46" i="9" s="1"/>
  <c r="W18" i="9"/>
  <c r="W21" i="9" s="1"/>
  <c r="W38" i="9" s="1"/>
  <c r="W41" i="9" s="1"/>
  <c r="W46" i="9" s="1"/>
  <c r="X18" i="9"/>
  <c r="X21" i="9" s="1"/>
  <c r="X38" i="9" s="1"/>
  <c r="X41" i="9" s="1"/>
  <c r="X46" i="9" s="1"/>
  <c r="Y18" i="9"/>
  <c r="Y21" i="9" s="1"/>
  <c r="Y38" i="9" s="1"/>
  <c r="Y41" i="9" s="1"/>
  <c r="Y46" i="9" s="1"/>
  <c r="Z18" i="9"/>
  <c r="Z21" i="9"/>
  <c r="Z38" i="9" s="1"/>
  <c r="Z41" i="9" s="1"/>
  <c r="Z46" i="9" s="1"/>
  <c r="P22" i="9"/>
  <c r="M23" i="9"/>
  <c r="P23" i="9"/>
  <c r="M24" i="9"/>
  <c r="AA24" i="9" s="1"/>
  <c r="P25" i="9"/>
  <c r="P26" i="9"/>
  <c r="P29" i="9"/>
  <c r="M30" i="9"/>
  <c r="P31" i="9"/>
  <c r="S31" i="9" s="1"/>
  <c r="P32" i="9"/>
  <c r="P34" i="9"/>
  <c r="Q34" i="9" s="1"/>
  <c r="U34" i="9" s="1"/>
  <c r="M16" i="9"/>
  <c r="AA16" i="9" s="1"/>
  <c r="P12" i="9"/>
  <c r="I18" i="9"/>
  <c r="I21" i="9" s="1"/>
  <c r="I38" i="9" s="1"/>
  <c r="I41" i="9" s="1"/>
  <c r="I46" i="9" s="1"/>
  <c r="M6" i="9"/>
  <c r="AA23" i="9"/>
  <c r="Q11" i="9"/>
  <c r="U26" i="9"/>
  <c r="AD26" i="9" s="1"/>
  <c r="V43" i="9"/>
  <c r="AB43" i="9" s="1"/>
  <c r="AC43" i="9" s="1"/>
  <c r="Q31" i="9"/>
  <c r="U31" i="9" s="1"/>
  <c r="T7" i="9"/>
  <c r="S36" i="9" l="1"/>
  <c r="S14" i="9"/>
  <c r="S17" i="9"/>
  <c r="V17" i="9"/>
  <c r="AB17" i="9" s="1"/>
  <c r="AC17" i="9" s="1"/>
  <c r="T14" i="9"/>
  <c r="Q7" i="9"/>
  <c r="U7" i="9" s="1"/>
  <c r="AA17" i="9"/>
  <c r="Q43" i="9"/>
  <c r="U43" i="9" s="1"/>
  <c r="AD43" i="9" s="1"/>
  <c r="V6" i="9"/>
  <c r="V44" i="9"/>
  <c r="V45" i="9"/>
  <c r="AB45" i="9" s="1"/>
  <c r="AC45" i="9" s="1"/>
  <c r="S29" i="9"/>
  <c r="R33" i="9"/>
  <c r="S33" i="9"/>
  <c r="S28" i="9"/>
  <c r="V33" i="9"/>
  <c r="AB33" i="9" s="1"/>
  <c r="AC33" i="9" s="1"/>
  <c r="Q45" i="9"/>
  <c r="U45" i="9" s="1"/>
  <c r="S45" i="9"/>
  <c r="S6" i="9"/>
  <c r="T37" i="9"/>
  <c r="S8" i="9"/>
  <c r="AA11" i="9"/>
  <c r="Q23" i="9"/>
  <c r="U23" i="9" s="1"/>
  <c r="V11" i="9"/>
  <c r="AB11" i="9" s="1"/>
  <c r="AC11" i="9" s="1"/>
  <c r="S27" i="9"/>
  <c r="Q24" i="9"/>
  <c r="U24" i="9" s="1"/>
  <c r="Q6" i="9"/>
  <c r="U6" i="9" s="1"/>
  <c r="Q8" i="9"/>
  <c r="R8" i="9" s="1"/>
  <c r="V35" i="9"/>
  <c r="AB35" i="9" s="1"/>
  <c r="AC35" i="9" s="1"/>
  <c r="T15" i="9"/>
  <c r="T13" i="9"/>
  <c r="T25" i="9"/>
  <c r="S37" i="9"/>
  <c r="V25" i="9"/>
  <c r="AB25" i="9" s="1"/>
  <c r="AC25" i="9" s="1"/>
  <c r="S11" i="9"/>
  <c r="Q27" i="9"/>
  <c r="U27" i="9" s="1"/>
  <c r="AD27" i="9" s="1"/>
  <c r="T33" i="9"/>
  <c r="S43" i="9"/>
  <c r="S24" i="9"/>
  <c r="Q22" i="9"/>
  <c r="R22" i="9" s="1"/>
  <c r="T27" i="9"/>
  <c r="T43" i="9"/>
  <c r="S35" i="9"/>
  <c r="S44" i="9"/>
  <c r="Q44" i="9"/>
  <c r="U44" i="9" s="1"/>
  <c r="V42" i="9"/>
  <c r="AB42" i="9" s="1"/>
  <c r="AC42" i="9" s="1"/>
  <c r="AD42" i="9" s="1"/>
  <c r="AE42" i="9" s="1"/>
  <c r="Q14" i="9"/>
  <c r="U14" i="9" s="1"/>
  <c r="AB6" i="9"/>
  <c r="AD6" i="9" s="1"/>
  <c r="R42" i="9"/>
  <c r="AA6" i="9"/>
  <c r="AA33" i="9"/>
  <c r="AD33" i="9" s="1"/>
  <c r="AE33" i="9" s="1"/>
  <c r="T8" i="9"/>
  <c r="T44" i="9"/>
  <c r="U28" i="9"/>
  <c r="S25" i="9"/>
  <c r="T23" i="9"/>
  <c r="V14" i="9"/>
  <c r="AB14" i="9" s="1"/>
  <c r="AC14" i="9" s="1"/>
  <c r="Q35" i="9"/>
  <c r="V36" i="9"/>
  <c r="AB36" i="9" s="1"/>
  <c r="AC36" i="9" s="1"/>
  <c r="V34" i="9"/>
  <c r="AB34" i="9" s="1"/>
  <c r="AC34" i="9" s="1"/>
  <c r="Q30" i="9"/>
  <c r="U30" i="9" s="1"/>
  <c r="S30" i="9"/>
  <c r="V30" i="9"/>
  <c r="AA30" i="9"/>
  <c r="T22" i="9"/>
  <c r="T10" i="9"/>
  <c r="Q12" i="9"/>
  <c r="U12" i="9" s="1"/>
  <c r="S12" i="9"/>
  <c r="V12" i="9"/>
  <c r="AB12" i="9" s="1"/>
  <c r="AC12" i="9" s="1"/>
  <c r="AA12" i="9"/>
  <c r="T9" i="9"/>
  <c r="K18" i="9"/>
  <c r="K21" i="9" s="1"/>
  <c r="K38" i="9" s="1"/>
  <c r="K41" i="9" s="1"/>
  <c r="K46" i="9" s="1"/>
  <c r="V13" i="9"/>
  <c r="AB13" i="9" s="1"/>
  <c r="AC13" i="9" s="1"/>
  <c r="Q13" i="9"/>
  <c r="U13" i="9" s="1"/>
  <c r="P18" i="9"/>
  <c r="P21" i="9" s="1"/>
  <c r="P38" i="9" s="1"/>
  <c r="P41" i="9" s="1"/>
  <c r="P46" i="9" s="1"/>
  <c r="S13" i="9"/>
  <c r="R31" i="9"/>
  <c r="U11" i="9"/>
  <c r="R11" i="9"/>
  <c r="S32" i="9"/>
  <c r="Q32" i="9"/>
  <c r="U32" i="9" s="1"/>
  <c r="T17" i="9"/>
  <c r="R17" i="9"/>
  <c r="V31" i="9"/>
  <c r="AB31" i="9" s="1"/>
  <c r="AC31" i="9" s="1"/>
  <c r="AA31" i="9"/>
  <c r="T12" i="9"/>
  <c r="T32" i="9"/>
  <c r="R7" i="9"/>
  <c r="T30" i="9"/>
  <c r="Q15" i="9"/>
  <c r="U15" i="9" s="1"/>
  <c r="V15" i="9"/>
  <c r="AB15" i="9" s="1"/>
  <c r="AC15" i="9" s="1"/>
  <c r="S15" i="9"/>
  <c r="AA22" i="9"/>
  <c r="V22" i="9"/>
  <c r="AB22" i="9"/>
  <c r="AC22" i="9" s="1"/>
  <c r="S9" i="9"/>
  <c r="T31" i="9"/>
  <c r="R14" i="9"/>
  <c r="T34" i="9"/>
  <c r="T28" i="9"/>
  <c r="R36" i="9"/>
  <c r="Q37" i="9"/>
  <c r="U37" i="9" s="1"/>
  <c r="V24" i="9"/>
  <c r="AB24" i="9" s="1"/>
  <c r="AC24" i="9" s="1"/>
  <c r="V9" i="9"/>
  <c r="AB9" i="9" s="1"/>
  <c r="AC9" i="9" s="1"/>
  <c r="T29" i="9"/>
  <c r="R34" i="9"/>
  <c r="T35" i="9"/>
  <c r="S23" i="9"/>
  <c r="T36" i="9"/>
  <c r="V28" i="9"/>
  <c r="AB28" i="9" s="1"/>
  <c r="AC28" i="9" s="1"/>
  <c r="S10" i="9"/>
  <c r="R45" i="9"/>
  <c r="R26" i="9"/>
  <c r="AE26" i="9" s="1"/>
  <c r="V37" i="9"/>
  <c r="AB37" i="9" s="1"/>
  <c r="AC37" i="9" s="1"/>
  <c r="S42" i="9"/>
  <c r="V8" i="9"/>
  <c r="AB8" i="9" s="1"/>
  <c r="AC8" i="9" s="1"/>
  <c r="AB44" i="9"/>
  <c r="AC44" i="9" s="1"/>
  <c r="S34" i="9"/>
  <c r="L18" i="9"/>
  <c r="L21" i="9" s="1"/>
  <c r="L38" i="9" s="1"/>
  <c r="L41" i="9" s="1"/>
  <c r="L46" i="9" s="1"/>
  <c r="Q25" i="9"/>
  <c r="U25" i="9" s="1"/>
  <c r="AD25" i="9" s="1"/>
  <c r="T24" i="9"/>
  <c r="V23" i="9"/>
  <c r="V29" i="9"/>
  <c r="AB29" i="9" s="1"/>
  <c r="AC29" i="9" s="1"/>
  <c r="S26" i="9"/>
  <c r="AB26" i="9"/>
  <c r="AA13" i="9"/>
  <c r="S7" i="9"/>
  <c r="Q10" i="9"/>
  <c r="U10" i="9" s="1"/>
  <c r="AD10" i="9" s="1"/>
  <c r="V16" i="9"/>
  <c r="AB16" i="9" s="1"/>
  <c r="AC16" i="9" s="1"/>
  <c r="T16" i="9"/>
  <c r="Q16" i="9"/>
  <c r="U16" i="9" s="1"/>
  <c r="AD17" i="9"/>
  <c r="S16" i="9"/>
  <c r="R23" i="9"/>
  <c r="R13" i="9"/>
  <c r="M18" i="9"/>
  <c r="M21" i="9" s="1"/>
  <c r="M38" i="9" s="1"/>
  <c r="M41" i="9" s="1"/>
  <c r="M46" i="9" s="1"/>
  <c r="S22" i="9"/>
  <c r="Q29" i="9"/>
  <c r="T42" i="9"/>
  <c r="T6" i="9"/>
  <c r="T26" i="9"/>
  <c r="V7" i="9"/>
  <c r="Q9" i="9"/>
  <c r="V32" i="9"/>
  <c r="AB32" i="9" s="1"/>
  <c r="AC32" i="9" s="1"/>
  <c r="AD45" i="9" l="1"/>
  <c r="R24" i="9"/>
  <c r="AE17" i="9"/>
  <c r="R6" i="9"/>
  <c r="AD34" i="9"/>
  <c r="AE34" i="9" s="1"/>
  <c r="U8" i="9"/>
  <c r="AD8" i="9" s="1"/>
  <c r="AE8" i="9" s="1"/>
  <c r="AA18" i="9"/>
  <c r="AA21" i="9" s="1"/>
  <c r="AA38" i="9" s="1"/>
  <c r="AA41" i="9" s="1"/>
  <c r="AA46" i="9" s="1"/>
  <c r="R43" i="9"/>
  <c r="AE43" i="9" s="1"/>
  <c r="R27" i="9"/>
  <c r="AE27" i="9" s="1"/>
  <c r="T18" i="9"/>
  <c r="T21" i="9" s="1"/>
  <c r="T38" i="9" s="1"/>
  <c r="T41" i="9" s="1"/>
  <c r="T46" i="9" s="1"/>
  <c r="U22" i="9"/>
  <c r="AD11" i="9"/>
  <c r="AD36" i="9"/>
  <c r="AE36" i="9" s="1"/>
  <c r="R12" i="9"/>
  <c r="AD44" i="9"/>
  <c r="AE44" i="9" s="1"/>
  <c r="R16" i="9"/>
  <c r="AE45" i="9"/>
  <c r="S18" i="9"/>
  <c r="S21" i="9" s="1"/>
  <c r="S38" i="9" s="1"/>
  <c r="S41" i="9" s="1"/>
  <c r="S46" i="9" s="1"/>
  <c r="AD13" i="9"/>
  <c r="AE13" i="9" s="1"/>
  <c r="R37" i="9"/>
  <c r="AD14" i="9"/>
  <c r="AE14" i="9" s="1"/>
  <c r="R44" i="9"/>
  <c r="AD15" i="9"/>
  <c r="R30" i="9"/>
  <c r="AD12" i="9"/>
  <c r="R10" i="9"/>
  <c r="AE10" i="9" s="1"/>
  <c r="U35" i="9"/>
  <c r="AD35" i="9" s="1"/>
  <c r="R35" i="9"/>
  <c r="AE11" i="9"/>
  <c r="AB23" i="9"/>
  <c r="AC23" i="9" s="1"/>
  <c r="AD23" i="9" s="1"/>
  <c r="AE23" i="9" s="1"/>
  <c r="AE6" i="9"/>
  <c r="AD28" i="9"/>
  <c r="AE28" i="9" s="1"/>
  <c r="AB30" i="9"/>
  <c r="AC30" i="9" s="1"/>
  <c r="AD30" i="9" s="1"/>
  <c r="AD37" i="9"/>
  <c r="AD22" i="9"/>
  <c r="AE22" i="9" s="1"/>
  <c r="R25" i="9"/>
  <c r="AE25" i="9" s="1"/>
  <c r="R32" i="9"/>
  <c r="R15" i="9"/>
  <c r="AD24" i="9"/>
  <c r="AE24" i="9" s="1"/>
  <c r="AD31" i="9"/>
  <c r="AE31" i="9" s="1"/>
  <c r="AB7" i="9"/>
  <c r="V18" i="9"/>
  <c r="V21" i="9" s="1"/>
  <c r="V38" i="9" s="1"/>
  <c r="V41" i="9" s="1"/>
  <c r="V46" i="9" s="1"/>
  <c r="R9" i="9"/>
  <c r="U9" i="9"/>
  <c r="Q18" i="9"/>
  <c r="Q21" i="9" s="1"/>
  <c r="Q38" i="9" s="1"/>
  <c r="Q41" i="9" s="1"/>
  <c r="Q46" i="9" s="1"/>
  <c r="AD32" i="9"/>
  <c r="R29" i="9"/>
  <c r="U29" i="9"/>
  <c r="AD29" i="9" s="1"/>
  <c r="AD16" i="9"/>
  <c r="AE16" i="9" s="1"/>
  <c r="AE12" i="9" l="1"/>
  <c r="AE15" i="9"/>
  <c r="AE37" i="9"/>
  <c r="AE35" i="9"/>
  <c r="AE32" i="9"/>
  <c r="AE30" i="9"/>
  <c r="AE29" i="9"/>
  <c r="T51" i="9"/>
  <c r="S51" i="9"/>
  <c r="AD9" i="9"/>
  <c r="AE9" i="9" s="1"/>
  <c r="U18" i="9"/>
  <c r="U21" i="9" s="1"/>
  <c r="U38" i="9" s="1"/>
  <c r="U41" i="9" s="1"/>
  <c r="U46" i="9" s="1"/>
  <c r="AC7" i="9"/>
  <c r="AB18" i="9"/>
  <c r="AB21" i="9" s="1"/>
  <c r="AB38" i="9" s="1"/>
  <c r="AB41" i="9" s="1"/>
  <c r="AB46" i="9" s="1"/>
  <c r="R18" i="9"/>
  <c r="R21" i="9" s="1"/>
  <c r="R38" i="9" s="1"/>
  <c r="R41" i="9" s="1"/>
  <c r="R46" i="9" s="1"/>
  <c r="X50" i="9" l="1"/>
  <c r="AC18" i="9"/>
  <c r="AC21" i="9" s="1"/>
  <c r="AC38" i="9" s="1"/>
  <c r="AC41" i="9" s="1"/>
  <c r="AC46" i="9" s="1"/>
  <c r="AG51" i="9" s="1"/>
  <c r="AE53" i="9" s="1"/>
  <c r="AD7" i="9"/>
  <c r="AE7" i="9" l="1"/>
  <c r="AE18" i="9" s="1"/>
  <c r="AE21" i="9" s="1"/>
  <c r="AE38" i="9" s="1"/>
  <c r="AE41" i="9" s="1"/>
  <c r="AE46" i="9" s="1"/>
  <c r="V50" i="9" s="1"/>
  <c r="AD18" i="9"/>
  <c r="AD21" i="9" s="1"/>
  <c r="AD38" i="9" s="1"/>
  <c r="AD41" i="9" s="1"/>
  <c r="AD46" i="9" s="1"/>
  <c r="AA51" i="9" s="1"/>
</calcChain>
</file>

<file path=xl/sharedStrings.xml><?xml version="1.0" encoding="utf-8"?>
<sst xmlns="http://schemas.openxmlformats.org/spreadsheetml/2006/main" count="114" uniqueCount="83">
  <si>
    <t>م</t>
  </si>
  <si>
    <t>شــئون العـامــلين</t>
  </si>
  <si>
    <t>الإجمالـــــــــــــى</t>
  </si>
  <si>
    <t>الأجر 
الأساسى</t>
  </si>
  <si>
    <t>حصة النقابة
فى التأمينات</t>
  </si>
  <si>
    <t>اشتراك العامل
فى التأمينات</t>
  </si>
  <si>
    <t>جملة
المستقطع</t>
  </si>
  <si>
    <t>ق    جـ</t>
  </si>
  <si>
    <t>ق     جـ</t>
  </si>
  <si>
    <t>ق      جـ</t>
  </si>
  <si>
    <t>اضافى</t>
  </si>
  <si>
    <t>نسبة الاضافى</t>
  </si>
  <si>
    <t>استقطاعــــــــــــات</t>
  </si>
  <si>
    <t>ق       جـ</t>
  </si>
  <si>
    <t>ق        جـ</t>
  </si>
  <si>
    <t>ق          جـ</t>
  </si>
  <si>
    <t>احمد محمد احمد مقدونة</t>
  </si>
  <si>
    <t>قسط سلفة</t>
  </si>
  <si>
    <t>مـــا قبـــــــــله</t>
  </si>
  <si>
    <t>الجمــلة</t>
  </si>
  <si>
    <t xml:space="preserve">                      </t>
  </si>
  <si>
    <t>المراجعة</t>
  </si>
  <si>
    <t xml:space="preserve"> الحسابات</t>
  </si>
  <si>
    <t>قسط 
سلفة للبنك</t>
  </si>
  <si>
    <t xml:space="preserve">  
 رئيس النقابة العامة   
</t>
  </si>
  <si>
    <t>الامين العام</t>
  </si>
  <si>
    <t>أمين صندوق</t>
  </si>
  <si>
    <t>منحة
 عيد العمال</t>
  </si>
  <si>
    <t>الاعانة 
 الاجتماعية</t>
  </si>
  <si>
    <t>بدل 
انتقال</t>
  </si>
  <si>
    <t xml:space="preserve">بدل 
طبيعة </t>
  </si>
  <si>
    <t xml:space="preserve">بــــــدلات </t>
  </si>
  <si>
    <t xml:space="preserve">مكافاة أثابة </t>
  </si>
  <si>
    <t xml:space="preserve">خصم أجازات 
وتاخير </t>
  </si>
  <si>
    <t>ايام خصم الحافز</t>
  </si>
  <si>
    <t>ايام خصم بدل الانتقال</t>
  </si>
  <si>
    <t>ايام خصم الغياب</t>
  </si>
  <si>
    <t>صافى 
المستحق</t>
  </si>
  <si>
    <t>حنـان عاطـف محمود طاهر</t>
  </si>
  <si>
    <t>طارق ســـيد على خـــــلاف</t>
  </si>
  <si>
    <t>محمد محمد عبد الرســـول</t>
  </si>
  <si>
    <t>احمد نعمان محمـــد نعمان</t>
  </si>
  <si>
    <t>محمـــد ســـعود امـير عـــلى</t>
  </si>
  <si>
    <t xml:space="preserve">هشـــــام مصطفــى محمـــد </t>
  </si>
  <si>
    <t>حســـــــين ثــابت حســــــن</t>
  </si>
  <si>
    <t>خالد محمــــد سلــــــيمان</t>
  </si>
  <si>
    <t>مصطفى رمضـــان حجازى</t>
  </si>
  <si>
    <t xml:space="preserve">عماد الدين محمد مـــبروك </t>
  </si>
  <si>
    <t>أحمد عبد المنعم عتــــمان</t>
  </si>
  <si>
    <t xml:space="preserve">وائــــــــــل محمـــد مــبروك </t>
  </si>
  <si>
    <t xml:space="preserve">أحمـــد صـــــــالح سنــــوسى </t>
  </si>
  <si>
    <t>أحمد هشام على الســـــــــيد</t>
  </si>
  <si>
    <t xml:space="preserve">كـريم إبراهيم عبد الحميد  </t>
  </si>
  <si>
    <t>أيمـن عبد الرحمـــن مأمـون</t>
  </si>
  <si>
    <t>يوســـف عبد الغنى يوسـف</t>
  </si>
  <si>
    <t xml:space="preserve">حســنين ابراهيــــم حســنين </t>
  </si>
  <si>
    <t>حوافز
200%</t>
  </si>
  <si>
    <t>هانى عبد الفتـــــــاح محمـد</t>
  </si>
  <si>
    <t>امــــال فــــــــاروق عـبد الله</t>
  </si>
  <si>
    <t>أحمد حسنى أحمد الدباح</t>
  </si>
  <si>
    <t xml:space="preserve">خصم 
التامين </t>
  </si>
  <si>
    <t xml:space="preserve">   رئيس النقابة العامة   
</t>
  </si>
  <si>
    <t>علاوة استثنائية</t>
  </si>
  <si>
    <t xml:space="preserve">طـــــه رمضـــــان حجـــازى </t>
  </si>
  <si>
    <t>الحسينى حامد محمود شعبان</t>
  </si>
  <si>
    <t>اسماء عبد المنعـــم فراج</t>
  </si>
  <si>
    <t>رامى بهاء الدين محمد</t>
  </si>
  <si>
    <t>محمود عبد الوهاب عبد الرحيم</t>
  </si>
  <si>
    <t>عامر فريد عامر</t>
  </si>
  <si>
    <t>على على إبراهيم الخطيب</t>
  </si>
  <si>
    <t>محمد عبد الله أحمد خليل</t>
  </si>
  <si>
    <t>بدل تفرغ</t>
  </si>
  <si>
    <t>احمد حسنى محمد تونى</t>
  </si>
  <si>
    <t>الاجمالــــــــــــــــى</t>
  </si>
  <si>
    <t>وعاء 
الضريبة</t>
  </si>
  <si>
    <t>ضرائب كسب
العمل</t>
  </si>
  <si>
    <t>مصطفى عبد الحميد محمد</t>
  </si>
  <si>
    <t>تامينى</t>
  </si>
  <si>
    <t>شامل</t>
  </si>
  <si>
    <t xml:space="preserve">
النقابة العامة للعاملين بصناعات البناء والأخشاب وصنع مواد البناء</t>
  </si>
  <si>
    <t>أخرى</t>
  </si>
  <si>
    <t xml:space="preserve">        المرتبات و الحوافز عن شهــــــــر ينايــــــــــــــــــــــــــــــــر  2026</t>
  </si>
  <si>
    <t>الاسم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</si>
</sst>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_-* #,##0\-;_-* &quot;-&quot;_-;_-@_-"/>
    <numFmt numFmtId="165" formatCode="_-* #,##0.00_-;_-* #,##0.00\-;_-* &quot;-&quot;??_-;_-@_-"/>
    <numFmt numFmtId="166" formatCode="_-&quot;ر.س.&quot;\ * #,##0_-;_-&quot;ر.س.&quot;\ * #,##0\-;_-&quot;ر.س.&quot;\ * &quot;-&quot;_-;_-@_-"/>
    <numFmt numFmtId="167" formatCode="_-&quot;ر.س.&quot;\ * #,##0.00_-;_-&quot;ر.س.&quot;\ * #,##0.00\-;_-&quot;ر.س.&quot;\ * &quot;-&quot;??_-;_-@_-"/>
  </numFmts>
  <fonts count="40">
    <font>
      <sz val="10"/>
      <name val="Arial"/>
      <charset val="178"/>
    </font>
    <font>
      <sz val="10"/>
      <name val="Arial"/>
      <family val="2"/>
    </font>
    <font>
      <sz val="28"/>
      <name val="Arial"/>
      <family val="2"/>
    </font>
    <font>
      <sz val="36"/>
      <name val="Arial"/>
      <family val="2"/>
    </font>
    <font>
      <b/>
      <sz val="48"/>
      <name val="Simplified Arabic"/>
      <family val="1"/>
    </font>
    <font>
      <b/>
      <sz val="60"/>
      <name val="Simplified Arabic"/>
      <family val="1"/>
    </font>
    <font>
      <b/>
      <sz val="48"/>
      <color indexed="12"/>
      <name val="Simplified Arabic"/>
      <family val="1"/>
    </font>
    <font>
      <sz val="48"/>
      <color indexed="12"/>
      <name val="Arial"/>
      <family val="2"/>
    </font>
    <font>
      <b/>
      <sz val="60"/>
      <color indexed="12"/>
      <name val="Simplified Arabic"/>
      <family val="1"/>
    </font>
    <font>
      <sz val="28"/>
      <color indexed="12"/>
      <name val="Arial"/>
      <family val="2"/>
    </font>
    <font>
      <sz val="36"/>
      <color indexed="12"/>
      <name val="Arial"/>
      <family val="2"/>
    </font>
    <font>
      <b/>
      <sz val="48"/>
      <color indexed="12"/>
      <name val="Arial"/>
      <family val="2"/>
    </font>
    <font>
      <b/>
      <sz val="36"/>
      <color indexed="12"/>
      <name val="Arial"/>
      <family val="2"/>
    </font>
    <font>
      <sz val="10"/>
      <color indexed="12"/>
      <name val="Arial"/>
      <family val="2"/>
    </font>
    <font>
      <b/>
      <sz val="50"/>
      <color indexed="12"/>
      <name val="Simplified Arabic"/>
      <family val="1"/>
    </font>
    <font>
      <b/>
      <sz val="40"/>
      <color indexed="12"/>
      <name val="Simplified Arabic"/>
      <family val="1"/>
    </font>
    <font>
      <b/>
      <sz val="65"/>
      <color indexed="12"/>
      <name val="Simplified Arabic"/>
      <family val="1"/>
    </font>
    <font>
      <b/>
      <sz val="65"/>
      <name val="Simplified Arabic"/>
      <family val="1"/>
    </font>
    <font>
      <sz val="8"/>
      <name val="Arial"/>
      <family val="2"/>
    </font>
    <font>
      <b/>
      <sz val="60"/>
      <color indexed="12"/>
      <name val="Arial"/>
      <family val="2"/>
    </font>
    <font>
      <b/>
      <sz val="65"/>
      <name val="Sahifa"/>
      <charset val="178"/>
    </font>
    <font>
      <sz val="65"/>
      <name val="Arial"/>
      <family val="2"/>
    </font>
    <font>
      <b/>
      <sz val="65"/>
      <name val="Arial"/>
      <family val="2"/>
      <charset val="178"/>
    </font>
    <font>
      <sz val="25"/>
      <name val="Arial"/>
      <family val="2"/>
    </font>
    <font>
      <b/>
      <sz val="55"/>
      <color indexed="12"/>
      <name val="Simplified Arabic"/>
      <family val="1"/>
    </font>
    <font>
      <b/>
      <sz val="35"/>
      <color indexed="12"/>
      <name val="Simplified Arabic"/>
      <family val="1"/>
    </font>
    <font>
      <b/>
      <sz val="55"/>
      <name val="Simplified Arabic"/>
      <family val="1"/>
    </font>
    <font>
      <b/>
      <sz val="77"/>
      <color indexed="12"/>
      <name val="Simplified Arabic"/>
      <family val="1"/>
    </font>
    <font>
      <b/>
      <sz val="77"/>
      <color indexed="12"/>
      <name val="Arial"/>
      <family val="2"/>
    </font>
    <font>
      <b/>
      <sz val="77"/>
      <name val="Sahifa"/>
      <charset val="178"/>
    </font>
    <font>
      <sz val="48"/>
      <name val="Arial"/>
      <family val="2"/>
    </font>
    <font>
      <b/>
      <sz val="60"/>
      <name val="AF_Najed"/>
      <charset val="178"/>
    </font>
    <font>
      <sz val="72"/>
      <name val="Arial"/>
      <family val="2"/>
    </font>
    <font>
      <b/>
      <sz val="60"/>
      <name val="Sahifa"/>
      <charset val="178"/>
    </font>
    <font>
      <b/>
      <sz val="72"/>
      <name val="AF_Najed"/>
      <charset val="178"/>
    </font>
    <font>
      <b/>
      <sz val="72"/>
      <name val="Simplified Arabic"/>
      <family val="1"/>
    </font>
    <font>
      <b/>
      <sz val="86"/>
      <color indexed="12"/>
      <name val="Simplified Arabic"/>
      <family val="1"/>
    </font>
    <font>
      <b/>
      <sz val="90"/>
      <color indexed="12"/>
      <name val="Monotype Koufi"/>
      <charset val="178"/>
    </font>
    <font>
      <b/>
      <sz val="50"/>
      <name val="Simplified Arabic"/>
      <family val="1"/>
    </font>
    <font>
      <b/>
      <sz val="55"/>
      <name val="AF_Najed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12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13" fillId="4" borderId="0" xfId="0" applyFont="1" applyFill="1" applyAlignment="1">
      <alignment vertical="center"/>
    </xf>
    <xf numFmtId="2" fontId="5" fillId="0" borderId="2" xfId="0" applyNumberFormat="1" applyFont="1" applyBorder="1" applyAlignment="1">
      <alignment horizontal="right" vertical="center" readingOrder="2"/>
    </xf>
    <xf numFmtId="2" fontId="17" fillId="0" borderId="2" xfId="0" applyNumberFormat="1" applyFont="1" applyBorder="1" applyAlignment="1">
      <alignment horizontal="right" vertical="center" readingOrder="2"/>
    </xf>
    <xf numFmtId="2" fontId="17" fillId="2" borderId="2" xfId="0" applyNumberFormat="1" applyFont="1" applyFill="1" applyBorder="1" applyAlignment="1">
      <alignment horizontal="right" vertical="center" readingOrder="2"/>
    </xf>
    <xf numFmtId="0" fontId="19" fillId="4" borderId="0" xfId="0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20" fillId="0" borderId="0" xfId="0" applyNumberFormat="1" applyFont="1" applyAlignment="1">
      <alignment horizontal="center" vertical="center" wrapText="1"/>
    </xf>
    <xf numFmtId="2" fontId="22" fillId="0" borderId="0" xfId="0" applyNumberFormat="1" applyFont="1" applyAlignment="1">
      <alignment vertical="center"/>
    </xf>
    <xf numFmtId="2" fontId="5" fillId="2" borderId="2" xfId="0" applyNumberFormat="1" applyFont="1" applyFill="1" applyBorder="1" applyAlignment="1">
      <alignment horizontal="right" vertical="center" readingOrder="2"/>
    </xf>
    <xf numFmtId="1" fontId="17" fillId="0" borderId="2" xfId="0" applyNumberFormat="1" applyFont="1" applyBorder="1" applyAlignment="1">
      <alignment horizontal="right" vertical="center" readingOrder="2"/>
    </xf>
    <xf numFmtId="1" fontId="26" fillId="0" borderId="2" xfId="0" applyNumberFormat="1" applyFont="1" applyBorder="1" applyAlignment="1">
      <alignment horizontal="right" vertical="center" readingOrder="2"/>
    </xf>
    <xf numFmtId="0" fontId="27" fillId="3" borderId="4" xfId="0" applyFont="1" applyFill="1" applyBorder="1" applyAlignment="1">
      <alignment horizontal="center" vertical="center" readingOrder="2"/>
    </xf>
    <xf numFmtId="0" fontId="29" fillId="0" borderId="0" xfId="0" applyFont="1" applyAlignment="1">
      <alignment horizontal="center" vertical="center"/>
    </xf>
    <xf numFmtId="2" fontId="30" fillId="0" borderId="0" xfId="0" applyNumberFormat="1" applyFont="1" applyAlignment="1">
      <alignment vertical="center"/>
    </xf>
    <xf numFmtId="9" fontId="17" fillId="0" borderId="2" xfId="0" applyNumberFormat="1" applyFont="1" applyBorder="1" applyAlignment="1">
      <alignment horizontal="right" vertical="center" readingOrder="2"/>
    </xf>
    <xf numFmtId="0" fontId="6" fillId="3" borderId="2" xfId="0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right" vertical="center" readingOrder="2"/>
    </xf>
    <xf numFmtId="9" fontId="5" fillId="0" borderId="2" xfId="0" applyNumberFormat="1" applyFont="1" applyBorder="1" applyAlignment="1">
      <alignment horizontal="right" vertical="center" readingOrder="2"/>
    </xf>
    <xf numFmtId="0" fontId="27" fillId="4" borderId="0" xfId="0" applyFont="1" applyFill="1" applyAlignment="1">
      <alignment horizontal="center" vertical="center" readingOrder="2"/>
    </xf>
    <xf numFmtId="0" fontId="14" fillId="4" borderId="0" xfId="0" applyFont="1" applyFill="1" applyAlignment="1">
      <alignment horizontal="center" vertical="center" readingOrder="2"/>
    </xf>
    <xf numFmtId="0" fontId="16" fillId="4" borderId="0" xfId="0" applyFont="1" applyFill="1" applyAlignment="1">
      <alignment horizontal="center" vertical="center" readingOrder="2"/>
    </xf>
    <xf numFmtId="2" fontId="16" fillId="4" borderId="0" xfId="0" applyNumberFormat="1" applyFont="1" applyFill="1" applyAlignment="1">
      <alignment horizontal="right" vertical="center" readingOrder="2"/>
    </xf>
    <xf numFmtId="0" fontId="11" fillId="3" borderId="7" xfId="0" applyFont="1" applyFill="1" applyBorder="1" applyAlignment="1">
      <alignment vertical="center"/>
    </xf>
    <xf numFmtId="0" fontId="12" fillId="4" borderId="9" xfId="0" applyFont="1" applyFill="1" applyBorder="1" applyAlignment="1">
      <alignment vertical="center"/>
    </xf>
    <xf numFmtId="0" fontId="25" fillId="3" borderId="2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right" vertical="center"/>
    </xf>
    <xf numFmtId="0" fontId="10" fillId="4" borderId="10" xfId="0" applyFont="1" applyFill="1" applyBorder="1" applyAlignment="1">
      <alignment horizontal="right" vertical="center"/>
    </xf>
    <xf numFmtId="0" fontId="2" fillId="0" borderId="10" xfId="0" applyFont="1" applyBorder="1" applyAlignment="1">
      <alignment vertical="center"/>
    </xf>
    <xf numFmtId="0" fontId="14" fillId="3" borderId="2" xfId="0" applyFont="1" applyFill="1" applyBorder="1" applyAlignment="1">
      <alignment horizontal="center" vertical="center" readingOrder="2"/>
    </xf>
    <xf numFmtId="0" fontId="16" fillId="4" borderId="2" xfId="0" applyFont="1" applyFill="1" applyBorder="1" applyAlignment="1">
      <alignment horizontal="center" vertical="center" readingOrder="2"/>
    </xf>
    <xf numFmtId="2" fontId="16" fillId="4" borderId="2" xfId="0" applyNumberFormat="1" applyFont="1" applyFill="1" applyBorder="1" applyAlignment="1">
      <alignment horizontal="right" vertical="center" readingOrder="2"/>
    </xf>
    <xf numFmtId="2" fontId="8" fillId="4" borderId="2" xfId="0" applyNumberFormat="1" applyFont="1" applyFill="1" applyBorder="1" applyAlignment="1">
      <alignment horizontal="right" vertical="center" readingOrder="2"/>
    </xf>
    <xf numFmtId="0" fontId="10" fillId="0" borderId="10" xfId="0" applyFont="1" applyBorder="1" applyAlignment="1">
      <alignment vertical="center"/>
    </xf>
    <xf numFmtId="0" fontId="27" fillId="4" borderId="4" xfId="0" applyFont="1" applyFill="1" applyBorder="1" applyAlignment="1">
      <alignment horizontal="center" vertical="center" readingOrder="2"/>
    </xf>
    <xf numFmtId="0" fontId="28" fillId="4" borderId="4" xfId="0" applyFont="1" applyFill="1" applyBorder="1" applyAlignment="1">
      <alignment vertical="center"/>
    </xf>
    <xf numFmtId="1" fontId="5" fillId="0" borderId="8" xfId="0" applyNumberFormat="1" applyFont="1" applyBorder="1" applyAlignment="1">
      <alignment horizontal="right" vertical="center" readingOrder="2"/>
    </xf>
    <xf numFmtId="9" fontId="5" fillId="0" borderId="8" xfId="0" applyNumberFormat="1" applyFont="1" applyBorder="1" applyAlignment="1">
      <alignment horizontal="right" vertical="center" readingOrder="2"/>
    </xf>
    <xf numFmtId="0" fontId="27" fillId="4" borderId="3" xfId="0" applyFont="1" applyFill="1" applyBorder="1" applyAlignment="1">
      <alignment horizontal="center" vertical="center" readingOrder="2"/>
    </xf>
    <xf numFmtId="0" fontId="14" fillId="4" borderId="11" xfId="0" applyFont="1" applyFill="1" applyBorder="1" applyAlignment="1">
      <alignment horizontal="center" vertical="center" readingOrder="2"/>
    </xf>
    <xf numFmtId="0" fontId="16" fillId="4" borderId="11" xfId="0" applyFont="1" applyFill="1" applyBorder="1" applyAlignment="1">
      <alignment horizontal="center" vertical="center" readingOrder="2"/>
    </xf>
    <xf numFmtId="2" fontId="16" fillId="4" borderId="11" xfId="0" applyNumberFormat="1" applyFont="1" applyFill="1" applyBorder="1" applyAlignment="1">
      <alignment horizontal="right" vertical="center" readingOrder="2"/>
    </xf>
    <xf numFmtId="0" fontId="27" fillId="3" borderId="12" xfId="0" applyFont="1" applyFill="1" applyBorder="1" applyAlignment="1">
      <alignment horizontal="center" vertical="center" readingOrder="2"/>
    </xf>
    <xf numFmtId="0" fontId="27" fillId="3" borderId="13" xfId="0" applyFont="1" applyFill="1" applyBorder="1" applyAlignment="1">
      <alignment horizontal="center" vertical="center" readingOrder="2"/>
    </xf>
    <xf numFmtId="0" fontId="9" fillId="0" borderId="1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29" fillId="0" borderId="1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 wrapText="1"/>
    </xf>
    <xf numFmtId="2" fontId="22" fillId="0" borderId="1" xfId="0" applyNumberFormat="1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7" fillId="3" borderId="6" xfId="0" applyFont="1" applyFill="1" applyBorder="1" applyAlignment="1">
      <alignment horizontal="center" vertical="center" readingOrder="2"/>
    </xf>
    <xf numFmtId="0" fontId="8" fillId="3" borderId="7" xfId="0" applyFont="1" applyFill="1" applyBorder="1" applyAlignment="1">
      <alignment horizontal="center" vertical="center" readingOrder="2"/>
    </xf>
    <xf numFmtId="0" fontId="8" fillId="0" borderId="7" xfId="0" applyFont="1" applyBorder="1" applyAlignment="1">
      <alignment horizontal="right" vertical="center" readingOrder="2"/>
    </xf>
    <xf numFmtId="9" fontId="16" fillId="0" borderId="7" xfId="0" applyNumberFormat="1" applyFont="1" applyBorder="1" applyAlignment="1">
      <alignment horizontal="right" vertical="center" readingOrder="2"/>
    </xf>
    <xf numFmtId="2" fontId="24" fillId="4" borderId="7" xfId="0" applyNumberFormat="1" applyFont="1" applyFill="1" applyBorder="1" applyAlignment="1">
      <alignment horizontal="right" vertical="center" readingOrder="2"/>
    </xf>
    <xf numFmtId="2" fontId="16" fillId="4" borderId="7" xfId="0" applyNumberFormat="1" applyFont="1" applyFill="1" applyBorder="1" applyAlignment="1">
      <alignment horizontal="right" vertical="center" readingOrder="2"/>
    </xf>
    <xf numFmtId="2" fontId="8" fillId="4" borderId="7" xfId="0" applyNumberFormat="1" applyFont="1" applyFill="1" applyBorder="1" applyAlignment="1">
      <alignment horizontal="right" vertical="center" readingOrder="2"/>
    </xf>
    <xf numFmtId="2" fontId="14" fillId="4" borderId="9" xfId="0" applyNumberFormat="1" applyFont="1" applyFill="1" applyBorder="1" applyAlignment="1">
      <alignment horizontal="right" vertical="center" readingOrder="2"/>
    </xf>
    <xf numFmtId="2" fontId="5" fillId="2" borderId="10" xfId="0" applyNumberFormat="1" applyFont="1" applyFill="1" applyBorder="1" applyAlignment="1">
      <alignment horizontal="right" vertical="center" readingOrder="2"/>
    </xf>
    <xf numFmtId="0" fontId="31" fillId="0" borderId="5" xfId="0" applyFont="1" applyBorder="1" applyAlignment="1">
      <alignment horizontal="center" vertical="center" readingOrder="2"/>
    </xf>
    <xf numFmtId="0" fontId="8" fillId="3" borderId="8" xfId="0" applyFont="1" applyFill="1" applyBorder="1" applyAlignment="1">
      <alignment horizontal="center" vertical="center" readingOrder="2"/>
    </xf>
    <xf numFmtId="0" fontId="8" fillId="4" borderId="8" xfId="0" applyFont="1" applyFill="1" applyBorder="1" applyAlignment="1">
      <alignment horizontal="center" vertical="center" readingOrder="2"/>
    </xf>
    <xf numFmtId="2" fontId="8" fillId="4" borderId="8" xfId="0" applyNumberFormat="1" applyFont="1" applyFill="1" applyBorder="1" applyAlignment="1">
      <alignment horizontal="right" vertical="center" readingOrder="2"/>
    </xf>
    <xf numFmtId="2" fontId="8" fillId="4" borderId="17" xfId="0" applyNumberFormat="1" applyFont="1" applyFill="1" applyBorder="1" applyAlignment="1">
      <alignment horizontal="right" vertical="center" readingOrder="2"/>
    </xf>
    <xf numFmtId="0" fontId="30" fillId="0" borderId="0" xfId="0" applyFont="1" applyAlignment="1">
      <alignment vertical="center"/>
    </xf>
    <xf numFmtId="2" fontId="22" fillId="0" borderId="0" xfId="0" applyNumberFormat="1" applyFont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2" fontId="32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34" fillId="0" borderId="2" xfId="0" applyFont="1" applyBorder="1" applyAlignment="1">
      <alignment horizontal="center" vertical="center" readingOrder="2"/>
    </xf>
    <xf numFmtId="0" fontId="35" fillId="4" borderId="2" xfId="0" applyFont="1" applyFill="1" applyBorder="1" applyAlignment="1">
      <alignment horizontal="center" vertical="center"/>
    </xf>
    <xf numFmtId="2" fontId="14" fillId="4" borderId="8" xfId="0" applyNumberFormat="1" applyFont="1" applyFill="1" applyBorder="1" applyAlignment="1">
      <alignment horizontal="right" vertical="center" readingOrder="2"/>
    </xf>
    <xf numFmtId="2" fontId="26" fillId="0" borderId="2" xfId="0" applyNumberFormat="1" applyFont="1" applyBorder="1" applyAlignment="1">
      <alignment horizontal="right" vertical="center" readingOrder="2"/>
    </xf>
    <xf numFmtId="2" fontId="24" fillId="4" borderId="2" xfId="0" applyNumberFormat="1" applyFont="1" applyFill="1" applyBorder="1" applyAlignment="1">
      <alignment horizontal="right" vertical="center" readingOrder="2"/>
    </xf>
    <xf numFmtId="2" fontId="24" fillId="4" borderId="8" xfId="0" applyNumberFormat="1" applyFont="1" applyFill="1" applyBorder="1" applyAlignment="1">
      <alignment horizontal="right" vertical="center" readingOrder="2"/>
    </xf>
    <xf numFmtId="2" fontId="38" fillId="0" borderId="8" xfId="0" applyNumberFormat="1" applyFont="1" applyBorder="1" applyAlignment="1">
      <alignment horizontal="right" vertical="center" readingOrder="2"/>
    </xf>
    <xf numFmtId="2" fontId="38" fillId="0" borderId="17" xfId="0" applyNumberFormat="1" applyFont="1" applyBorder="1" applyAlignment="1">
      <alignment horizontal="right" vertical="center" readingOrder="2"/>
    </xf>
    <xf numFmtId="0" fontId="39" fillId="0" borderId="2" xfId="0" applyFont="1" applyBorder="1" applyAlignment="1">
      <alignment horizontal="center" vertical="center" readingOrder="2"/>
    </xf>
    <xf numFmtId="0" fontId="31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 readingOrder="2"/>
    </xf>
    <xf numFmtId="0" fontId="20" fillId="0" borderId="1" xfId="0" applyFont="1" applyBorder="1" applyAlignment="1">
      <alignment horizontal="center" vertical="center"/>
    </xf>
    <xf numFmtId="2" fontId="6" fillId="3" borderId="7" xfId="0" applyNumberFormat="1" applyFont="1" applyFill="1" applyBorder="1" applyAlignment="1">
      <alignment horizontal="center" vertical="center" textRotation="90"/>
    </xf>
    <xf numFmtId="2" fontId="6" fillId="3" borderId="2" xfId="0" applyNumberFormat="1" applyFont="1" applyFill="1" applyBorder="1" applyAlignment="1">
      <alignment horizontal="center" vertical="center" textRotation="90"/>
    </xf>
    <xf numFmtId="0" fontId="6" fillId="3" borderId="7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37" fillId="2" borderId="0" xfId="0" applyFont="1" applyFill="1" applyAlignment="1">
      <alignment horizontal="right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center" vertical="center" readingOrder="2"/>
    </xf>
    <xf numFmtId="0" fontId="27" fillId="3" borderId="2" xfId="0" applyFont="1" applyFill="1" applyBorder="1" applyAlignment="1">
      <alignment horizontal="center" vertical="center" readingOrder="2"/>
    </xf>
    <xf numFmtId="0" fontId="15" fillId="3" borderId="7" xfId="0" applyFont="1" applyFill="1" applyBorder="1" applyAlignment="1">
      <alignment horizontal="center" vertical="center" textRotation="90" wrapText="1"/>
    </xf>
    <xf numFmtId="0" fontId="15" fillId="3" borderId="2" xfId="0" applyFont="1" applyFill="1" applyBorder="1" applyAlignment="1">
      <alignment horizontal="center" vertical="center" textRotation="90" wrapText="1"/>
    </xf>
    <xf numFmtId="0" fontId="36" fillId="2" borderId="0" xfId="0" applyFont="1" applyFill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readingOrder="2"/>
    </xf>
    <xf numFmtId="0" fontId="6" fillId="3" borderId="4" xfId="0" applyFont="1" applyFill="1" applyBorder="1" applyAlignment="1">
      <alignment horizontal="center" vertical="center" readingOrder="2"/>
    </xf>
    <xf numFmtId="0" fontId="20" fillId="2" borderId="11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top" wrapText="1"/>
    </xf>
    <xf numFmtId="0" fontId="20" fillId="2" borderId="18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top" wrapText="1"/>
    </xf>
    <xf numFmtId="2" fontId="20" fillId="0" borderId="0" xfId="0" applyNumberFormat="1" applyFont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 readingOrder="2"/>
    </xf>
    <xf numFmtId="0" fontId="8" fillId="3" borderId="8" xfId="0" applyFont="1" applyFill="1" applyBorder="1" applyAlignment="1">
      <alignment horizontal="center" vertical="center" readingOrder="2"/>
    </xf>
  </cellXfs>
  <cellStyles count="5">
    <cellStyle name="Normal" xfId="0" builtinId="0"/>
    <cellStyle name="عملة [0]_كشف نصف الوقت" xfId="1" xr:uid="{00000000-0005-0000-0000-000001000000}"/>
    <cellStyle name="عملة_كشف نصف الوقت" xfId="2" xr:uid="{00000000-0005-0000-0000-000002000000}"/>
    <cellStyle name="فاصلة [0]_كشف نصف الوقت" xfId="3" xr:uid="{00000000-0005-0000-0000-000003000000}"/>
    <cellStyle name="فاصلة_كشف نصف الوقت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697269-D4A9-4648-B79B-44DD67992645}">
  <we:reference id="wa200006234" version="1.0.0.106" store="ar-SA" storeType="OMEX"/>
  <we:alternateReferences>
    <we:reference id="wa200006234" version="1.0.0.10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_xldudf_COEFF_PROD_GET_IMPORT_HEADER_STRING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>
    <pageSetUpPr fitToPage="1"/>
  </sheetPr>
  <dimension ref="A1:AS6181"/>
  <sheetViews>
    <sheetView rightToLeft="1" tabSelected="1" view="pageBreakPreview" zoomScale="13" zoomScaleNormal="25" zoomScaleSheetLayoutView="13" workbookViewId="0">
      <pane ySplit="5" topLeftCell="A6" activePane="bottomLeft" state="frozen"/>
      <selection pane="bottomLeft" activeCell="S46" sqref="S46:T46"/>
    </sheetView>
  </sheetViews>
  <sheetFormatPr defaultRowHeight="75" customHeight="1"/>
  <cols>
    <col min="1" max="1" width="23.7109375" style="14" customWidth="1"/>
    <col min="2" max="2" width="141.85546875" style="1" customWidth="1"/>
    <col min="3" max="3" width="11.85546875" style="1" hidden="1" customWidth="1"/>
    <col min="4" max="4" width="16.140625" style="1" customWidth="1"/>
    <col min="5" max="5" width="13" style="1" customWidth="1"/>
    <col min="6" max="6" width="42.85546875" style="1" hidden="1" customWidth="1"/>
    <col min="7" max="7" width="45.5703125" style="1" customWidth="1"/>
    <col min="8" max="8" width="47.7109375" style="1" bestFit="1" customWidth="1"/>
    <col min="9" max="9" width="59.5703125" style="1" customWidth="1"/>
    <col min="10" max="10" width="58.28515625" style="1" customWidth="1"/>
    <col min="11" max="11" width="60.7109375" style="1" customWidth="1"/>
    <col min="12" max="12" width="62" style="1" bestFit="1" customWidth="1"/>
    <col min="13" max="13" width="66.7109375" style="1" customWidth="1"/>
    <col min="14" max="14" width="55.28515625" style="1" customWidth="1"/>
    <col min="15" max="15" width="53.7109375" style="1" bestFit="1" customWidth="1"/>
    <col min="16" max="16" width="53.28515625" style="1" customWidth="1"/>
    <col min="17" max="17" width="64.42578125" style="1" customWidth="1"/>
    <col min="18" max="18" width="64.28515625" style="2" customWidth="1"/>
    <col min="19" max="19" width="60.42578125" style="2" customWidth="1"/>
    <col min="20" max="20" width="61.5703125" style="1" customWidth="1"/>
    <col min="21" max="21" width="59.5703125" style="1" customWidth="1"/>
    <col min="22" max="22" width="58.28515625" style="1" customWidth="1"/>
    <col min="23" max="23" width="54.7109375" style="1" hidden="1" customWidth="1"/>
    <col min="24" max="24" width="57.85546875" style="1" customWidth="1"/>
    <col min="25" max="25" width="52.42578125" style="1" customWidth="1"/>
    <col min="26" max="26" width="51.85546875" style="1" customWidth="1"/>
    <col min="27" max="27" width="51.140625" style="1" customWidth="1"/>
    <col min="28" max="28" width="54.7109375" style="1" hidden="1" customWidth="1"/>
    <col min="29" max="29" width="51.140625" style="1" customWidth="1"/>
    <col min="30" max="30" width="64.5703125" style="2" customWidth="1"/>
    <col min="31" max="31" width="67.140625" style="2" customWidth="1"/>
    <col min="32" max="32" width="9.140625" style="1" hidden="1" customWidth="1"/>
    <col min="33" max="33" width="82" style="1" bestFit="1" customWidth="1"/>
    <col min="34" max="39" width="9.140625" style="1"/>
    <col min="40" max="40" width="35.28515625" style="1" bestFit="1" customWidth="1"/>
    <col min="41" max="16384" width="9.140625" style="1"/>
  </cols>
  <sheetData>
    <row r="1" spans="1:34" ht="209.25" customHeight="1">
      <c r="A1" s="109" t="s">
        <v>79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G1" s="8"/>
      <c r="AH1" s="8"/>
    </row>
    <row r="2" spans="1:34" s="10" customFormat="1" ht="234.75" customHeight="1" thickBot="1">
      <c r="A2" s="116" t="s">
        <v>81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G2" s="6"/>
      <c r="AH2" s="6"/>
    </row>
    <row r="3" spans="1:34" s="11" customFormat="1" ht="94.5" customHeight="1" thickTop="1">
      <c r="A3" s="120" t="s">
        <v>0</v>
      </c>
      <c r="B3" s="110" t="s">
        <v>82</v>
      </c>
      <c r="C3" s="104" t="s">
        <v>35</v>
      </c>
      <c r="D3" s="104" t="s">
        <v>34</v>
      </c>
      <c r="E3" s="104" t="s">
        <v>36</v>
      </c>
      <c r="F3" s="114" t="s">
        <v>11</v>
      </c>
      <c r="G3" s="106" t="s">
        <v>27</v>
      </c>
      <c r="H3" s="106" t="s">
        <v>28</v>
      </c>
      <c r="I3" s="106" t="s">
        <v>3</v>
      </c>
      <c r="J3" s="106" t="s">
        <v>62</v>
      </c>
      <c r="K3" s="119" t="s">
        <v>31</v>
      </c>
      <c r="L3" s="119"/>
      <c r="M3" s="119"/>
      <c r="N3" s="119"/>
      <c r="O3" s="119"/>
      <c r="P3" s="119"/>
      <c r="Q3" s="132" t="s">
        <v>4</v>
      </c>
      <c r="R3" s="134" t="s">
        <v>19</v>
      </c>
      <c r="S3" s="87"/>
      <c r="T3" s="38"/>
      <c r="U3" s="127" t="s">
        <v>12</v>
      </c>
      <c r="V3" s="127"/>
      <c r="W3" s="127"/>
      <c r="X3" s="127"/>
      <c r="Y3" s="127"/>
      <c r="Z3" s="127"/>
      <c r="AA3" s="127"/>
      <c r="AB3" s="127"/>
      <c r="AC3" s="127"/>
      <c r="AD3" s="117" t="s">
        <v>6</v>
      </c>
      <c r="AE3" s="117" t="s">
        <v>37</v>
      </c>
      <c r="AF3" s="39"/>
      <c r="AG3" s="3"/>
      <c r="AH3" s="3"/>
    </row>
    <row r="4" spans="1:34" s="12" customFormat="1" ht="249" customHeight="1">
      <c r="A4" s="121"/>
      <c r="B4" s="111"/>
      <c r="C4" s="105"/>
      <c r="D4" s="105"/>
      <c r="E4" s="105"/>
      <c r="F4" s="115"/>
      <c r="G4" s="107"/>
      <c r="H4" s="107"/>
      <c r="I4" s="108"/>
      <c r="J4" s="108"/>
      <c r="K4" s="9" t="s">
        <v>29</v>
      </c>
      <c r="L4" s="9" t="s">
        <v>30</v>
      </c>
      <c r="M4" s="9" t="s">
        <v>56</v>
      </c>
      <c r="N4" s="9" t="s">
        <v>32</v>
      </c>
      <c r="O4" s="9" t="s">
        <v>71</v>
      </c>
      <c r="P4" s="31" t="s">
        <v>10</v>
      </c>
      <c r="Q4" s="133"/>
      <c r="R4" s="118"/>
      <c r="S4" s="88" t="s">
        <v>77</v>
      </c>
      <c r="T4" s="9" t="s">
        <v>78</v>
      </c>
      <c r="U4" s="9" t="s">
        <v>4</v>
      </c>
      <c r="V4" s="9" t="s">
        <v>5</v>
      </c>
      <c r="W4" s="89" t="s">
        <v>80</v>
      </c>
      <c r="X4" s="9" t="s">
        <v>17</v>
      </c>
      <c r="Y4" s="9" t="s">
        <v>23</v>
      </c>
      <c r="Z4" s="9" t="s">
        <v>60</v>
      </c>
      <c r="AA4" s="40" t="s">
        <v>33</v>
      </c>
      <c r="AB4" s="9" t="s">
        <v>74</v>
      </c>
      <c r="AC4" s="9" t="s">
        <v>75</v>
      </c>
      <c r="AD4" s="131"/>
      <c r="AE4" s="118"/>
      <c r="AF4" s="41"/>
      <c r="AG4" s="3"/>
      <c r="AH4" s="3"/>
    </row>
    <row r="5" spans="1:34" s="13" customFormat="1" ht="105.75" customHeight="1">
      <c r="A5" s="121"/>
      <c r="B5" s="111"/>
      <c r="C5" s="105"/>
      <c r="D5" s="105"/>
      <c r="E5" s="105"/>
      <c r="F5" s="42"/>
      <c r="G5" s="43" t="s">
        <v>7</v>
      </c>
      <c r="H5" s="43" t="s">
        <v>7</v>
      </c>
      <c r="I5" s="43" t="s">
        <v>7</v>
      </c>
      <c r="J5" s="43" t="s">
        <v>7</v>
      </c>
      <c r="K5" s="43" t="s">
        <v>7</v>
      </c>
      <c r="L5" s="43" t="s">
        <v>7</v>
      </c>
      <c r="M5" s="43" t="s">
        <v>9</v>
      </c>
      <c r="N5" s="43" t="s">
        <v>9</v>
      </c>
      <c r="O5" s="43" t="s">
        <v>9</v>
      </c>
      <c r="P5" s="43" t="s">
        <v>13</v>
      </c>
      <c r="Q5" s="43" t="s">
        <v>14</v>
      </c>
      <c r="R5" s="44" t="s">
        <v>8</v>
      </c>
      <c r="S5" s="44"/>
      <c r="T5" s="43" t="s">
        <v>8</v>
      </c>
      <c r="U5" s="43" t="s">
        <v>15</v>
      </c>
      <c r="V5" s="43" t="s">
        <v>13</v>
      </c>
      <c r="W5" s="43" t="s">
        <v>14</v>
      </c>
      <c r="X5" s="43" t="s">
        <v>14</v>
      </c>
      <c r="Y5" s="43" t="s">
        <v>14</v>
      </c>
      <c r="Z5" s="43" t="s">
        <v>14</v>
      </c>
      <c r="AA5" s="43" t="s">
        <v>14</v>
      </c>
      <c r="AB5" s="43"/>
      <c r="AC5" s="43" t="s">
        <v>14</v>
      </c>
      <c r="AD5" s="44" t="s">
        <v>9</v>
      </c>
      <c r="AE5" s="44" t="s">
        <v>15</v>
      </c>
      <c r="AF5" s="45"/>
      <c r="AG5" s="3"/>
      <c r="AH5" s="3"/>
    </row>
    <row r="6" spans="1:34" s="3" customFormat="1" ht="260.10000000000002" customHeight="1">
      <c r="A6" s="27">
        <v>1</v>
      </c>
      <c r="B6" s="101" t="s">
        <v>38</v>
      </c>
      <c r="C6" s="25"/>
      <c r="D6" s="25"/>
      <c r="E6" s="25"/>
      <c r="F6" s="30">
        <v>0</v>
      </c>
      <c r="G6" s="15">
        <v>15</v>
      </c>
      <c r="H6" s="15">
        <v>6</v>
      </c>
      <c r="I6" s="15">
        <v>3465.5479639999994</v>
      </c>
      <c r="J6" s="15">
        <v>300</v>
      </c>
      <c r="K6" s="15">
        <f>500*(22-C6)/22</f>
        <v>500</v>
      </c>
      <c r="L6" s="15">
        <f>I6*60%</f>
        <v>2079.3287783999995</v>
      </c>
      <c r="M6" s="15">
        <f>(I6*200%)+50*(30-E6)/30</f>
        <v>6981.0959279999988</v>
      </c>
      <c r="N6" s="15">
        <v>600</v>
      </c>
      <c r="O6" s="15">
        <v>0</v>
      </c>
      <c r="P6" s="15">
        <v>0</v>
      </c>
      <c r="Q6" s="15">
        <f>(G6+H6+I6+L6+M6+N6+P6+O6)*18.75%</f>
        <v>2465.0573756999997</v>
      </c>
      <c r="R6" s="24">
        <f t="shared" ref="R6:R17" si="0">SUM(G6:Q6)</f>
        <v>16412.030046099997</v>
      </c>
      <c r="S6" s="24">
        <f>G6+H6+I6+L6+M6+N6+O6+P6</f>
        <v>13146.972670399999</v>
      </c>
      <c r="T6" s="15">
        <f>G6+H6+I6+J6+K6+L6+M6+N6+O6+P6</f>
        <v>13946.972670399999</v>
      </c>
      <c r="U6" s="15">
        <f t="shared" ref="U6:U17" si="1">Q6</f>
        <v>2465.0573756999997</v>
      </c>
      <c r="V6" s="15">
        <f>(G6+H6+I6+L6+M6+N6+P6+O6)*11%</f>
        <v>1446.1669937439999</v>
      </c>
      <c r="W6" s="15">
        <v>0</v>
      </c>
      <c r="X6" s="15">
        <v>1250</v>
      </c>
      <c r="Y6" s="15">
        <v>0</v>
      </c>
      <c r="Z6" s="15">
        <v>150</v>
      </c>
      <c r="AA6" s="15">
        <f>M6/30*D6</f>
        <v>0</v>
      </c>
      <c r="AB6" s="16">
        <f>SUM(I6+L6+M6+N6+O6+P6)*12-(V6+Z6)*12-20000</f>
        <v>118357.66811987199</v>
      </c>
      <c r="AC6" s="16">
        <f>IF(AB6&lt;=40000,AB6*0%,IF(AB6&lt;=45000,AB6*10%-4000,IF(AB6&lt;=60000,AB6*15%-6250,IF(AB6&lt;=200000,AB6*20%-10250,""))))/12</f>
        <v>1118.4611353312</v>
      </c>
      <c r="AD6" s="15">
        <f>U6+V6+W6+X6+Y6+Z6+AA6+AC6</f>
        <v>6429.6855047751997</v>
      </c>
      <c r="AE6" s="15">
        <f t="shared" ref="AE6:AE17" si="2">R6-AD6</f>
        <v>9982.3445413247973</v>
      </c>
      <c r="AF6" s="46"/>
      <c r="AG6" s="85"/>
    </row>
    <row r="7" spans="1:34" s="3" customFormat="1" ht="260.10000000000002" customHeight="1">
      <c r="A7" s="27">
        <v>2</v>
      </c>
      <c r="B7" s="102" t="s">
        <v>58</v>
      </c>
      <c r="C7" s="25"/>
      <c r="D7" s="25"/>
      <c r="E7" s="25"/>
      <c r="F7" s="30">
        <v>0</v>
      </c>
      <c r="G7" s="15">
        <v>15</v>
      </c>
      <c r="H7" s="24">
        <v>6</v>
      </c>
      <c r="I7" s="24">
        <v>3082.3215999999998</v>
      </c>
      <c r="J7" s="15">
        <v>300</v>
      </c>
      <c r="K7" s="15">
        <f>500*(22-C7)/22</f>
        <v>500</v>
      </c>
      <c r="L7" s="24">
        <v>0</v>
      </c>
      <c r="M7" s="15">
        <f>(I7*200%)*(30-E7)/30</f>
        <v>6164.6431999999995</v>
      </c>
      <c r="N7" s="24">
        <v>0</v>
      </c>
      <c r="O7" s="15">
        <v>0</v>
      </c>
      <c r="P7" s="15">
        <f>(I7*F7)*(30-E7)/30</f>
        <v>0</v>
      </c>
      <c r="Q7" s="15">
        <f t="shared" ref="Q7:Q17" si="3">(G7+H7+I7+L7+M7+N7+P7+O7)*18.75%</f>
        <v>1737.7433999999998</v>
      </c>
      <c r="R7" s="24">
        <f t="shared" si="0"/>
        <v>11805.708199999999</v>
      </c>
      <c r="S7" s="24">
        <f t="shared" ref="S7:S17" si="4">G7+H7+I7+L7+M7+N7+O7+P7</f>
        <v>9267.9647999999997</v>
      </c>
      <c r="T7" s="15">
        <f t="shared" ref="T7:T17" si="5">G7+H7+I7+J7+K7+L7+M7+N7+O7+P7</f>
        <v>10067.9648</v>
      </c>
      <c r="U7" s="15">
        <f t="shared" si="1"/>
        <v>1737.7433999999998</v>
      </c>
      <c r="V7" s="15">
        <f t="shared" ref="V7:V17" si="6">(G7+H7+I7+L7+M7+N7+P7+O7)*11%</f>
        <v>1019.476128</v>
      </c>
      <c r="W7" s="15">
        <v>0</v>
      </c>
      <c r="X7" s="15">
        <v>0</v>
      </c>
      <c r="Y7" s="24">
        <v>0</v>
      </c>
      <c r="Z7" s="15">
        <v>150</v>
      </c>
      <c r="AA7" s="15">
        <f>M7/30*D7</f>
        <v>0</v>
      </c>
      <c r="AB7" s="16">
        <f t="shared" ref="AB7:AB17" si="7">SUM(I7+L7+M7+N7+O7+P7)*12-(V7+Z7)*12-20000</f>
        <v>76929.864063999994</v>
      </c>
      <c r="AC7" s="16">
        <f t="shared" ref="AC7:AC17" si="8">IF(AB7&lt;=40000,AB7*0%,IF(AB7&lt;=45000,AB7*10%-4000,IF(AB7&lt;=60000,AB7*15%-6250,IF(AB7&lt;=200000,AB7*20%-10250,""))))/12</f>
        <v>427.9977343999999</v>
      </c>
      <c r="AD7" s="15">
        <f t="shared" ref="AD7:AD17" si="9">U7+V7+W7+X7+Y7+Z7+AA7+AC7</f>
        <v>3335.2172623999995</v>
      </c>
      <c r="AE7" s="15">
        <f t="shared" si="2"/>
        <v>8470.4909375999996</v>
      </c>
      <c r="AF7" s="46"/>
    </row>
    <row r="8" spans="1:34" s="3" customFormat="1" ht="260.10000000000002" customHeight="1">
      <c r="A8" s="27">
        <v>3</v>
      </c>
      <c r="B8" s="102" t="s">
        <v>42</v>
      </c>
      <c r="C8" s="25"/>
      <c r="D8" s="25"/>
      <c r="E8" s="25"/>
      <c r="F8" s="30">
        <v>0</v>
      </c>
      <c r="G8" s="15">
        <v>15</v>
      </c>
      <c r="H8" s="15">
        <v>10</v>
      </c>
      <c r="I8" s="15">
        <v>2803.3020799999999</v>
      </c>
      <c r="J8" s="15">
        <v>300</v>
      </c>
      <c r="K8" s="15">
        <f>500*(22-C8)/22</f>
        <v>500</v>
      </c>
      <c r="L8" s="15">
        <f>I8*20%</f>
        <v>560.66041600000005</v>
      </c>
      <c r="M8" s="15">
        <f>(I8*200%)*(30-E8)/30</f>
        <v>5606.6041599999999</v>
      </c>
      <c r="N8" s="15">
        <v>250</v>
      </c>
      <c r="O8" s="15">
        <v>0</v>
      </c>
      <c r="P8" s="15">
        <f>(I8*F8)*(30-E8)/30</f>
        <v>0</v>
      </c>
      <c r="Q8" s="15">
        <f t="shared" si="3"/>
        <v>1733.5437479999998</v>
      </c>
      <c r="R8" s="24">
        <f t="shared" si="0"/>
        <v>11779.110403999999</v>
      </c>
      <c r="S8" s="24">
        <f t="shared" si="4"/>
        <v>9245.5666559999991</v>
      </c>
      <c r="T8" s="15">
        <f t="shared" si="5"/>
        <v>10045.566655999999</v>
      </c>
      <c r="U8" s="15">
        <f t="shared" si="1"/>
        <v>1733.5437479999998</v>
      </c>
      <c r="V8" s="15">
        <f t="shared" si="6"/>
        <v>1017.0123321599999</v>
      </c>
      <c r="W8" s="15">
        <v>0</v>
      </c>
      <c r="X8" s="15">
        <v>1250</v>
      </c>
      <c r="Y8" s="15">
        <v>0</v>
      </c>
      <c r="Z8" s="15">
        <v>150</v>
      </c>
      <c r="AA8" s="15">
        <f>M8/30*D8</f>
        <v>0</v>
      </c>
      <c r="AB8" s="16">
        <f t="shared" si="7"/>
        <v>76642.651886079984</v>
      </c>
      <c r="AC8" s="16">
        <f t="shared" si="8"/>
        <v>423.21086476799974</v>
      </c>
      <c r="AD8" s="15">
        <f t="shared" si="9"/>
        <v>4573.7669449279992</v>
      </c>
      <c r="AE8" s="15">
        <f t="shared" si="2"/>
        <v>7205.3434590719999</v>
      </c>
      <c r="AF8" s="46"/>
    </row>
    <row r="9" spans="1:34" s="3" customFormat="1" ht="260.10000000000002" customHeight="1">
      <c r="A9" s="27">
        <v>4</v>
      </c>
      <c r="B9" s="102" t="s">
        <v>43</v>
      </c>
      <c r="C9" s="25"/>
      <c r="D9" s="25"/>
      <c r="E9" s="25"/>
      <c r="F9" s="30">
        <v>0</v>
      </c>
      <c r="G9" s="15">
        <v>15</v>
      </c>
      <c r="H9" s="24">
        <v>10</v>
      </c>
      <c r="I9" s="24">
        <v>2865.6137530000005</v>
      </c>
      <c r="J9" s="15">
        <v>300</v>
      </c>
      <c r="K9" s="15">
        <f>500*(22-C9)/22</f>
        <v>500</v>
      </c>
      <c r="L9" s="15">
        <f>I9*80%</f>
        <v>2292.4910024000005</v>
      </c>
      <c r="M9" s="15">
        <f>(I9*200%)+50*(30-E9)/30</f>
        <v>5781.2275060000011</v>
      </c>
      <c r="N9" s="24">
        <v>1000</v>
      </c>
      <c r="O9" s="15">
        <v>0</v>
      </c>
      <c r="P9" s="15">
        <f>(I9*F9)*(30-E9)/30</f>
        <v>0</v>
      </c>
      <c r="Q9" s="15">
        <f t="shared" si="3"/>
        <v>2243.3122990125003</v>
      </c>
      <c r="R9" s="24">
        <f t="shared" si="0"/>
        <v>15007.644560412504</v>
      </c>
      <c r="S9" s="24">
        <f t="shared" si="4"/>
        <v>11964.332261400003</v>
      </c>
      <c r="T9" s="15">
        <f t="shared" si="5"/>
        <v>12764.332261400003</v>
      </c>
      <c r="U9" s="15">
        <f t="shared" si="1"/>
        <v>2243.3122990125003</v>
      </c>
      <c r="V9" s="15">
        <f t="shared" si="6"/>
        <v>1316.0765487540002</v>
      </c>
      <c r="W9" s="15">
        <v>0</v>
      </c>
      <c r="X9" s="15">
        <v>1666</v>
      </c>
      <c r="Y9" s="24">
        <v>0</v>
      </c>
      <c r="Z9" s="15">
        <v>135</v>
      </c>
      <c r="AA9" s="15">
        <f>M9/30*D9</f>
        <v>0</v>
      </c>
      <c r="AB9" s="16">
        <f t="shared" si="7"/>
        <v>105859.06855175202</v>
      </c>
      <c r="AC9" s="16">
        <f t="shared" si="8"/>
        <v>910.15114252920046</v>
      </c>
      <c r="AD9" s="15">
        <f t="shared" si="9"/>
        <v>6270.5399902957006</v>
      </c>
      <c r="AE9" s="15">
        <f t="shared" si="2"/>
        <v>8737.1045701168041</v>
      </c>
      <c r="AF9" s="46"/>
    </row>
    <row r="10" spans="1:34" s="3" customFormat="1" ht="260.10000000000002" customHeight="1">
      <c r="A10" s="27">
        <v>5</v>
      </c>
      <c r="B10" s="102" t="s">
        <v>70</v>
      </c>
      <c r="C10" s="32"/>
      <c r="D10" s="32"/>
      <c r="E10" s="32"/>
      <c r="F10" s="30">
        <v>0</v>
      </c>
      <c r="G10" s="15">
        <v>15</v>
      </c>
      <c r="H10" s="15">
        <v>10</v>
      </c>
      <c r="I10" s="15">
        <v>1623.98</v>
      </c>
      <c r="J10" s="24">
        <v>300</v>
      </c>
      <c r="K10" s="15">
        <f>500*(22-C10)/22</f>
        <v>500</v>
      </c>
      <c r="L10" s="15">
        <f>I10*80%</f>
        <v>1299.1840000000002</v>
      </c>
      <c r="M10" s="15">
        <f>(I10*200%)+50*(30-E10)/30</f>
        <v>3297.96</v>
      </c>
      <c r="N10" s="24">
        <v>1750</v>
      </c>
      <c r="O10" s="24">
        <v>0</v>
      </c>
      <c r="P10" s="15">
        <v>0</v>
      </c>
      <c r="Q10" s="15">
        <f t="shared" si="3"/>
        <v>1499.27325</v>
      </c>
      <c r="R10" s="24">
        <f t="shared" si="0"/>
        <v>10295.39725</v>
      </c>
      <c r="S10" s="24">
        <f t="shared" si="4"/>
        <v>7996.1239999999998</v>
      </c>
      <c r="T10" s="15">
        <f t="shared" si="5"/>
        <v>8796.1239999999998</v>
      </c>
      <c r="U10" s="24">
        <f t="shared" si="1"/>
        <v>1499.27325</v>
      </c>
      <c r="V10" s="15">
        <f t="shared" si="6"/>
        <v>879.57363999999995</v>
      </c>
      <c r="W10" s="24">
        <v>0</v>
      </c>
      <c r="X10" s="15">
        <v>1666</v>
      </c>
      <c r="Y10" s="24">
        <v>0</v>
      </c>
      <c r="Z10" s="15">
        <v>75</v>
      </c>
      <c r="AA10" s="15">
        <v>0</v>
      </c>
      <c r="AB10" s="16">
        <f t="shared" si="7"/>
        <v>64198.604319999999</v>
      </c>
      <c r="AC10" s="16">
        <f t="shared" si="8"/>
        <v>215.81007200000008</v>
      </c>
      <c r="AD10" s="15">
        <f t="shared" si="9"/>
        <v>4335.656962</v>
      </c>
      <c r="AE10" s="79">
        <f t="shared" si="2"/>
        <v>5959.740288</v>
      </c>
      <c r="AF10" s="46"/>
    </row>
    <row r="11" spans="1:34" s="3" customFormat="1" ht="260.10000000000002" customHeight="1">
      <c r="A11" s="27">
        <v>6</v>
      </c>
      <c r="B11" s="102" t="s">
        <v>44</v>
      </c>
      <c r="C11" s="25"/>
      <c r="D11" s="25"/>
      <c r="E11" s="25"/>
      <c r="F11" s="30">
        <v>0.25</v>
      </c>
      <c r="G11" s="15">
        <v>15</v>
      </c>
      <c r="H11" s="15">
        <v>10</v>
      </c>
      <c r="I11" s="15">
        <v>2791.7061999999996</v>
      </c>
      <c r="J11" s="15">
        <v>300</v>
      </c>
      <c r="K11" s="15">
        <v>0</v>
      </c>
      <c r="L11" s="15">
        <v>0</v>
      </c>
      <c r="M11" s="15">
        <f t="shared" ref="M11:M17" si="10">(I11*200%)*(30-E11)/30</f>
        <v>5583.4123999999993</v>
      </c>
      <c r="N11" s="15">
        <v>200</v>
      </c>
      <c r="O11" s="15">
        <v>0</v>
      </c>
      <c r="P11" s="15">
        <v>575</v>
      </c>
      <c r="Q11" s="15">
        <f t="shared" si="3"/>
        <v>1720.3347374999996</v>
      </c>
      <c r="R11" s="24">
        <f>SUM(G11:Q11)</f>
        <v>11195.453337499997</v>
      </c>
      <c r="S11" s="24">
        <f t="shared" si="4"/>
        <v>9175.118599999998</v>
      </c>
      <c r="T11" s="15">
        <f t="shared" si="5"/>
        <v>9475.118599999998</v>
      </c>
      <c r="U11" s="15">
        <f t="shared" si="1"/>
        <v>1720.3347374999996</v>
      </c>
      <c r="V11" s="15">
        <f t="shared" si="6"/>
        <v>1009.2630459999998</v>
      </c>
      <c r="W11" s="15">
        <v>0</v>
      </c>
      <c r="X11" s="15">
        <v>420</v>
      </c>
      <c r="Y11" s="15">
        <v>0</v>
      </c>
      <c r="Z11" s="15">
        <v>150</v>
      </c>
      <c r="AA11" s="15">
        <f t="shared" ref="AA11:AA17" si="11">M11/30*D11</f>
        <v>0</v>
      </c>
      <c r="AB11" s="16">
        <f t="shared" si="7"/>
        <v>75890.266647999975</v>
      </c>
      <c r="AC11" s="16">
        <f t="shared" si="8"/>
        <v>410.67111079999967</v>
      </c>
      <c r="AD11" s="15">
        <f t="shared" si="9"/>
        <v>3710.2688942999989</v>
      </c>
      <c r="AE11" s="15">
        <f t="shared" si="2"/>
        <v>7485.184443199998</v>
      </c>
      <c r="AF11" s="46"/>
    </row>
    <row r="12" spans="1:34" s="3" customFormat="1" ht="260.10000000000002" customHeight="1">
      <c r="A12" s="27">
        <v>7</v>
      </c>
      <c r="B12" s="102" t="s">
        <v>41</v>
      </c>
      <c r="C12" s="25"/>
      <c r="D12" s="25"/>
      <c r="E12" s="25"/>
      <c r="F12" s="30">
        <v>0</v>
      </c>
      <c r="G12" s="15">
        <v>15</v>
      </c>
      <c r="H12" s="15">
        <v>8</v>
      </c>
      <c r="I12" s="15">
        <v>2484.54</v>
      </c>
      <c r="J12" s="15">
        <v>300</v>
      </c>
      <c r="K12" s="15">
        <v>0</v>
      </c>
      <c r="L12" s="15">
        <v>0</v>
      </c>
      <c r="M12" s="15">
        <f t="shared" si="10"/>
        <v>4969.08</v>
      </c>
      <c r="N12" s="15">
        <v>0</v>
      </c>
      <c r="O12" s="15">
        <v>0</v>
      </c>
      <c r="P12" s="15">
        <f>(I12*F12)*(30-E12)/30</f>
        <v>0</v>
      </c>
      <c r="Q12" s="15">
        <f t="shared" si="3"/>
        <v>1401.86625</v>
      </c>
      <c r="R12" s="24">
        <f t="shared" si="0"/>
        <v>9178.4862499999999</v>
      </c>
      <c r="S12" s="24">
        <f t="shared" si="4"/>
        <v>7476.62</v>
      </c>
      <c r="T12" s="15">
        <f t="shared" si="5"/>
        <v>7776.62</v>
      </c>
      <c r="U12" s="15">
        <f t="shared" si="1"/>
        <v>1401.86625</v>
      </c>
      <c r="V12" s="15">
        <f t="shared" si="6"/>
        <v>822.42819999999995</v>
      </c>
      <c r="W12" s="15">
        <v>0</v>
      </c>
      <c r="X12" s="15">
        <v>0</v>
      </c>
      <c r="Y12" s="15">
        <v>1820</v>
      </c>
      <c r="Z12" s="15">
        <v>150</v>
      </c>
      <c r="AA12" s="15">
        <f t="shared" si="11"/>
        <v>0</v>
      </c>
      <c r="AB12" s="16">
        <f t="shared" si="7"/>
        <v>57774.301600000006</v>
      </c>
      <c r="AC12" s="16">
        <f t="shared" si="8"/>
        <v>201.34543666666664</v>
      </c>
      <c r="AD12" s="15">
        <f t="shared" si="9"/>
        <v>4395.6398866666659</v>
      </c>
      <c r="AE12" s="15">
        <f t="shared" si="2"/>
        <v>4782.846363333334</v>
      </c>
      <c r="AF12" s="46"/>
    </row>
    <row r="13" spans="1:34" s="3" customFormat="1" ht="260.10000000000002" customHeight="1">
      <c r="A13" s="27">
        <v>8</v>
      </c>
      <c r="B13" s="102" t="s">
        <v>64</v>
      </c>
      <c r="C13" s="25"/>
      <c r="D13" s="25"/>
      <c r="E13" s="25"/>
      <c r="F13" s="30"/>
      <c r="G13" s="15">
        <v>15</v>
      </c>
      <c r="H13" s="15">
        <v>8</v>
      </c>
      <c r="I13" s="15">
        <v>2484.54</v>
      </c>
      <c r="J13" s="15">
        <v>300</v>
      </c>
      <c r="K13" s="15">
        <v>0</v>
      </c>
      <c r="L13" s="15">
        <v>0</v>
      </c>
      <c r="M13" s="15">
        <f t="shared" si="10"/>
        <v>4969.08</v>
      </c>
      <c r="N13" s="15">
        <v>0</v>
      </c>
      <c r="O13" s="15">
        <v>0</v>
      </c>
      <c r="P13" s="15">
        <f>(I13*F13)*(30-E13)/30</f>
        <v>0</v>
      </c>
      <c r="Q13" s="15">
        <f t="shared" si="3"/>
        <v>1401.86625</v>
      </c>
      <c r="R13" s="24">
        <f t="shared" si="0"/>
        <v>9178.4862499999999</v>
      </c>
      <c r="S13" s="24">
        <f t="shared" si="4"/>
        <v>7476.62</v>
      </c>
      <c r="T13" s="15">
        <f t="shared" si="5"/>
        <v>7776.62</v>
      </c>
      <c r="U13" s="15">
        <f t="shared" si="1"/>
        <v>1401.86625</v>
      </c>
      <c r="V13" s="15">
        <f t="shared" si="6"/>
        <v>822.42819999999995</v>
      </c>
      <c r="W13" s="15">
        <v>0</v>
      </c>
      <c r="X13" s="15">
        <v>0</v>
      </c>
      <c r="Y13" s="15">
        <v>0</v>
      </c>
      <c r="Z13" s="15">
        <v>150</v>
      </c>
      <c r="AA13" s="15">
        <f t="shared" si="11"/>
        <v>0</v>
      </c>
      <c r="AB13" s="16">
        <f>SUM(I13+L13+M13+N13+O13+P13)*12-(V13+Z13)*12-20000</f>
        <v>57774.301600000006</v>
      </c>
      <c r="AC13" s="16">
        <f t="shared" si="8"/>
        <v>201.34543666666664</v>
      </c>
      <c r="AD13" s="15">
        <f t="shared" si="9"/>
        <v>2575.6398866666664</v>
      </c>
      <c r="AE13" s="15">
        <f t="shared" si="2"/>
        <v>6602.846363333334</v>
      </c>
      <c r="AF13" s="46"/>
    </row>
    <row r="14" spans="1:34" s="3" customFormat="1" ht="260.10000000000002" customHeight="1">
      <c r="A14" s="27">
        <v>9</v>
      </c>
      <c r="B14" s="102" t="s">
        <v>16</v>
      </c>
      <c r="C14" s="25"/>
      <c r="D14" s="25"/>
      <c r="E14" s="25"/>
      <c r="F14" s="30">
        <v>0</v>
      </c>
      <c r="G14" s="15">
        <v>15</v>
      </c>
      <c r="H14" s="24">
        <v>10</v>
      </c>
      <c r="I14" s="24">
        <v>2481.91</v>
      </c>
      <c r="J14" s="15">
        <v>300</v>
      </c>
      <c r="K14" s="15">
        <v>0</v>
      </c>
      <c r="L14" s="24">
        <v>0</v>
      </c>
      <c r="M14" s="15">
        <f t="shared" si="10"/>
        <v>4963.8199999999988</v>
      </c>
      <c r="N14" s="24">
        <v>0</v>
      </c>
      <c r="O14" s="15">
        <v>0</v>
      </c>
      <c r="P14" s="15">
        <f>(I14*F14)*(30-E14)/30</f>
        <v>0</v>
      </c>
      <c r="Q14" s="15">
        <f t="shared" si="3"/>
        <v>1400.7618749999997</v>
      </c>
      <c r="R14" s="24">
        <f t="shared" si="0"/>
        <v>9171.4918749999979</v>
      </c>
      <c r="S14" s="24">
        <f t="shared" si="4"/>
        <v>7470.7299999999987</v>
      </c>
      <c r="T14" s="15">
        <f t="shared" si="5"/>
        <v>7770.7299999999987</v>
      </c>
      <c r="U14" s="15">
        <f t="shared" si="1"/>
        <v>1400.7618749999997</v>
      </c>
      <c r="V14" s="15">
        <f t="shared" si="6"/>
        <v>821.7802999999999</v>
      </c>
      <c r="W14" s="15">
        <v>0</v>
      </c>
      <c r="X14" s="15">
        <v>0</v>
      </c>
      <c r="Y14" s="24">
        <v>0</v>
      </c>
      <c r="Z14" s="15">
        <v>150</v>
      </c>
      <c r="AA14" s="15">
        <f t="shared" si="11"/>
        <v>0</v>
      </c>
      <c r="AB14" s="16">
        <f t="shared" si="7"/>
        <v>57687.396399999983</v>
      </c>
      <c r="AC14" s="16">
        <f t="shared" si="8"/>
        <v>200.25912166666649</v>
      </c>
      <c r="AD14" s="15">
        <f t="shared" si="9"/>
        <v>2572.8012966666661</v>
      </c>
      <c r="AE14" s="15">
        <f t="shared" si="2"/>
        <v>6598.6905783333314</v>
      </c>
      <c r="AF14" s="46"/>
    </row>
    <row r="15" spans="1:34" s="3" customFormat="1" ht="260.10000000000002" customHeight="1">
      <c r="A15" s="27">
        <v>10</v>
      </c>
      <c r="B15" s="102" t="s">
        <v>48</v>
      </c>
      <c r="C15" s="25"/>
      <c r="D15" s="15"/>
      <c r="E15" s="25"/>
      <c r="F15" s="30">
        <v>0.4</v>
      </c>
      <c r="G15" s="24">
        <v>15</v>
      </c>
      <c r="H15" s="24">
        <v>10</v>
      </c>
      <c r="I15" s="24">
        <v>3294.5222158000001</v>
      </c>
      <c r="J15" s="15">
        <v>300</v>
      </c>
      <c r="K15" s="15">
        <f>500*(22-C15)/22</f>
        <v>500</v>
      </c>
      <c r="L15" s="24">
        <v>0</v>
      </c>
      <c r="M15" s="15">
        <f t="shared" si="10"/>
        <v>6589.0444316000003</v>
      </c>
      <c r="N15" s="24">
        <v>125</v>
      </c>
      <c r="O15" s="15">
        <v>0</v>
      </c>
      <c r="P15" s="15">
        <v>1085</v>
      </c>
      <c r="Q15" s="15">
        <f t="shared" si="3"/>
        <v>2084.7312463875001</v>
      </c>
      <c r="R15" s="24">
        <f t="shared" si="0"/>
        <v>14003.2978937875</v>
      </c>
      <c r="S15" s="24">
        <f t="shared" si="4"/>
        <v>11118.566647400001</v>
      </c>
      <c r="T15" s="15">
        <f t="shared" si="5"/>
        <v>11918.566647399999</v>
      </c>
      <c r="U15" s="15">
        <f t="shared" si="1"/>
        <v>2084.7312463875001</v>
      </c>
      <c r="V15" s="15">
        <f t="shared" si="6"/>
        <v>1223.0423312140001</v>
      </c>
      <c r="W15" s="15">
        <v>0</v>
      </c>
      <c r="X15" s="15">
        <v>1250</v>
      </c>
      <c r="Y15" s="24">
        <v>0</v>
      </c>
      <c r="Z15" s="15">
        <v>150</v>
      </c>
      <c r="AA15" s="15">
        <f t="shared" si="11"/>
        <v>0</v>
      </c>
      <c r="AB15" s="16">
        <f t="shared" si="7"/>
        <v>96646.291794232005</v>
      </c>
      <c r="AC15" s="16">
        <f t="shared" si="8"/>
        <v>756.60486323719999</v>
      </c>
      <c r="AD15" s="15">
        <f t="shared" si="9"/>
        <v>5464.3784408387</v>
      </c>
      <c r="AE15" s="15">
        <f t="shared" si="2"/>
        <v>8538.9194529487995</v>
      </c>
      <c r="AF15" s="46"/>
    </row>
    <row r="16" spans="1:34" s="3" customFormat="1" ht="260.10000000000002" customHeight="1">
      <c r="A16" s="27">
        <v>11</v>
      </c>
      <c r="B16" s="102" t="s">
        <v>45</v>
      </c>
      <c r="C16" s="25"/>
      <c r="D16" s="15"/>
      <c r="E16" s="25"/>
      <c r="F16" s="30">
        <v>0.4</v>
      </c>
      <c r="G16" s="24">
        <v>15</v>
      </c>
      <c r="H16" s="24">
        <v>10</v>
      </c>
      <c r="I16" s="24">
        <v>2715.3276000000001</v>
      </c>
      <c r="J16" s="15">
        <v>300</v>
      </c>
      <c r="K16" s="15">
        <f>500*(22-C16)/22</f>
        <v>500</v>
      </c>
      <c r="L16" s="24">
        <v>0</v>
      </c>
      <c r="M16" s="15">
        <f t="shared" si="10"/>
        <v>5430.6552000000001</v>
      </c>
      <c r="N16" s="24">
        <v>125</v>
      </c>
      <c r="O16" s="15">
        <v>0</v>
      </c>
      <c r="P16" s="15">
        <v>885</v>
      </c>
      <c r="Q16" s="15">
        <f t="shared" si="3"/>
        <v>1721.4342750000001</v>
      </c>
      <c r="R16" s="24">
        <f t="shared" si="0"/>
        <v>11702.417074999999</v>
      </c>
      <c r="S16" s="24">
        <f t="shared" si="4"/>
        <v>9180.9827999999998</v>
      </c>
      <c r="T16" s="15">
        <f t="shared" si="5"/>
        <v>9980.9827999999998</v>
      </c>
      <c r="U16" s="15">
        <f t="shared" si="1"/>
        <v>1721.4342750000001</v>
      </c>
      <c r="V16" s="15">
        <f t="shared" si="6"/>
        <v>1009.908108</v>
      </c>
      <c r="W16" s="15">
        <v>0</v>
      </c>
      <c r="X16" s="15">
        <v>1250</v>
      </c>
      <c r="Y16" s="24">
        <v>0</v>
      </c>
      <c r="Z16" s="15">
        <v>150</v>
      </c>
      <c r="AA16" s="15">
        <f t="shared" si="11"/>
        <v>0</v>
      </c>
      <c r="AB16" s="16">
        <f t="shared" si="7"/>
        <v>75952.896304000009</v>
      </c>
      <c r="AC16" s="16">
        <f t="shared" si="8"/>
        <v>411.71493840000022</v>
      </c>
      <c r="AD16" s="15">
        <f t="shared" si="9"/>
        <v>4543.0573214000005</v>
      </c>
      <c r="AE16" s="15">
        <f t="shared" si="2"/>
        <v>7159.3597535999988</v>
      </c>
      <c r="AF16" s="46"/>
    </row>
    <row r="17" spans="1:45" s="3" customFormat="1" ht="260.10000000000002" customHeight="1">
      <c r="A17" s="27">
        <v>12</v>
      </c>
      <c r="B17" s="102" t="s">
        <v>46</v>
      </c>
      <c r="C17" s="25"/>
      <c r="D17" s="25"/>
      <c r="E17" s="25"/>
      <c r="F17" s="30">
        <v>0.25</v>
      </c>
      <c r="G17" s="24">
        <v>15</v>
      </c>
      <c r="H17" s="24">
        <v>10</v>
      </c>
      <c r="I17" s="24">
        <v>2532.7200000000003</v>
      </c>
      <c r="J17" s="15">
        <v>300</v>
      </c>
      <c r="K17" s="15">
        <f>500*(22-C17)/22</f>
        <v>500</v>
      </c>
      <c r="L17" s="24">
        <v>0</v>
      </c>
      <c r="M17" s="15">
        <f t="shared" si="10"/>
        <v>5065.4400000000005</v>
      </c>
      <c r="N17" s="24">
        <v>125</v>
      </c>
      <c r="O17" s="15">
        <v>0</v>
      </c>
      <c r="P17" s="15">
        <v>510</v>
      </c>
      <c r="Q17" s="15">
        <f t="shared" si="3"/>
        <v>1548.405</v>
      </c>
      <c r="R17" s="15">
        <f t="shared" si="0"/>
        <v>10606.565000000001</v>
      </c>
      <c r="S17" s="24">
        <f t="shared" si="4"/>
        <v>8258.16</v>
      </c>
      <c r="T17" s="15">
        <f t="shared" si="5"/>
        <v>9058.16</v>
      </c>
      <c r="U17" s="15">
        <f t="shared" si="1"/>
        <v>1548.405</v>
      </c>
      <c r="V17" s="15">
        <f t="shared" si="6"/>
        <v>908.39760000000001</v>
      </c>
      <c r="W17" s="15">
        <v>0</v>
      </c>
      <c r="X17" s="15">
        <v>1250</v>
      </c>
      <c r="Y17" s="24">
        <v>0</v>
      </c>
      <c r="Z17" s="15">
        <v>135</v>
      </c>
      <c r="AA17" s="15">
        <f t="shared" si="11"/>
        <v>0</v>
      </c>
      <c r="AB17" s="16">
        <f t="shared" si="7"/>
        <v>66277.148799999995</v>
      </c>
      <c r="AC17" s="16">
        <f t="shared" si="8"/>
        <v>250.45247999999992</v>
      </c>
      <c r="AD17" s="15">
        <f t="shared" si="9"/>
        <v>4092.2550799999999</v>
      </c>
      <c r="AE17" s="15">
        <f t="shared" si="2"/>
        <v>6514.3099200000006</v>
      </c>
      <c r="AF17" s="46"/>
      <c r="AK17" s="3" t="s">
        <v>20</v>
      </c>
    </row>
    <row r="18" spans="1:45" s="7" customFormat="1" ht="230.1" customHeight="1">
      <c r="A18" s="112" t="s">
        <v>2</v>
      </c>
      <c r="B18" s="113"/>
      <c r="C18" s="47"/>
      <c r="D18" s="48"/>
      <c r="E18" s="48"/>
      <c r="F18" s="49"/>
      <c r="G18" s="50">
        <f t="shared" ref="G18:AE18" si="12">SUM(G6:G17)</f>
        <v>180</v>
      </c>
      <c r="H18" s="50">
        <f t="shared" si="12"/>
        <v>108</v>
      </c>
      <c r="I18" s="50">
        <f t="shared" si="12"/>
        <v>32626.031412800003</v>
      </c>
      <c r="J18" s="50">
        <f t="shared" si="12"/>
        <v>3600</v>
      </c>
      <c r="K18" s="50">
        <f t="shared" si="12"/>
        <v>4000</v>
      </c>
      <c r="L18" s="50">
        <f t="shared" si="12"/>
        <v>6231.6641968000004</v>
      </c>
      <c r="M18" s="50">
        <f t="shared" si="12"/>
        <v>65402.062825600005</v>
      </c>
      <c r="N18" s="50">
        <f t="shared" si="12"/>
        <v>4175</v>
      </c>
      <c r="O18" s="50">
        <f t="shared" si="12"/>
        <v>0</v>
      </c>
      <c r="P18" s="50">
        <f t="shared" si="12"/>
        <v>3055</v>
      </c>
      <c r="Q18" s="50">
        <f t="shared" si="12"/>
        <v>20958.329706599994</v>
      </c>
      <c r="R18" s="96">
        <f t="shared" si="12"/>
        <v>140336.08814179999</v>
      </c>
      <c r="S18" s="50">
        <f t="shared" si="12"/>
        <v>111777.7584352</v>
      </c>
      <c r="T18" s="50">
        <f t="shared" si="12"/>
        <v>119377.7584352</v>
      </c>
      <c r="U18" s="50">
        <f t="shared" si="12"/>
        <v>20958.329706599994</v>
      </c>
      <c r="V18" s="50">
        <f t="shared" si="12"/>
        <v>12295.553427872001</v>
      </c>
      <c r="W18" s="50">
        <f t="shared" si="12"/>
        <v>0</v>
      </c>
      <c r="X18" s="50">
        <f t="shared" si="12"/>
        <v>10002</v>
      </c>
      <c r="Y18" s="50">
        <f t="shared" si="12"/>
        <v>1820</v>
      </c>
      <c r="Z18" s="50">
        <f t="shared" si="12"/>
        <v>1695</v>
      </c>
      <c r="AA18" s="50">
        <f t="shared" si="12"/>
        <v>0</v>
      </c>
      <c r="AB18" s="50">
        <f t="shared" si="12"/>
        <v>929990.46008793591</v>
      </c>
      <c r="AC18" s="96">
        <f t="shared" si="12"/>
        <v>5528.0243364655998</v>
      </c>
      <c r="AD18" s="50">
        <f t="shared" si="12"/>
        <v>52298.9074709376</v>
      </c>
      <c r="AE18" s="50">
        <f t="shared" si="12"/>
        <v>88037.180670862406</v>
      </c>
      <c r="AF18" s="51"/>
      <c r="AG18" s="1"/>
    </row>
    <row r="19" spans="1:45" s="7" customFormat="1" ht="12.75" customHeight="1">
      <c r="A19" s="52"/>
      <c r="B19" s="56"/>
      <c r="C19" s="57"/>
      <c r="D19" s="58"/>
      <c r="E19" s="58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122" t="s">
        <v>24</v>
      </c>
      <c r="AE19" s="122"/>
      <c r="AF19" s="123"/>
      <c r="AG19" s="1"/>
    </row>
    <row r="20" spans="1:45" s="4" customFormat="1" ht="239.25" customHeight="1" thickBot="1">
      <c r="A20" s="53"/>
      <c r="B20" s="66"/>
      <c r="C20" s="103" t="s">
        <v>1</v>
      </c>
      <c r="D20" s="103"/>
      <c r="E20" s="103"/>
      <c r="F20" s="103"/>
      <c r="G20" s="103"/>
      <c r="H20" s="103"/>
      <c r="I20" s="103"/>
      <c r="J20" s="67"/>
      <c r="K20" s="128" t="s">
        <v>21</v>
      </c>
      <c r="L20" s="128"/>
      <c r="M20" s="128"/>
      <c r="N20" s="128"/>
      <c r="O20" s="69"/>
      <c r="P20" s="70"/>
      <c r="Q20" s="128" t="s">
        <v>22</v>
      </c>
      <c r="R20" s="128"/>
      <c r="S20" s="68"/>
      <c r="T20" s="128" t="s">
        <v>26</v>
      </c>
      <c r="U20" s="128"/>
      <c r="V20" s="128"/>
      <c r="W20" s="128"/>
      <c r="X20" s="68"/>
      <c r="Y20" s="128" t="s">
        <v>25</v>
      </c>
      <c r="Z20" s="128"/>
      <c r="AA20" s="128"/>
      <c r="AB20" s="128"/>
      <c r="AC20" s="128"/>
      <c r="AD20" s="124"/>
      <c r="AE20" s="124"/>
      <c r="AF20" s="123"/>
      <c r="AG20" s="1"/>
      <c r="AH20" s="7"/>
      <c r="AI20" s="7"/>
      <c r="AJ20" s="20"/>
    </row>
    <row r="21" spans="1:45" s="6" customFormat="1" ht="165" customHeight="1" thickTop="1">
      <c r="A21" s="60"/>
      <c r="B21" s="71" t="s">
        <v>18</v>
      </c>
      <c r="C21" s="72"/>
      <c r="D21" s="73"/>
      <c r="E21" s="73"/>
      <c r="F21" s="74"/>
      <c r="G21" s="75">
        <f t="shared" ref="G21:L21" si="13">G18</f>
        <v>180</v>
      </c>
      <c r="H21" s="76">
        <f t="shared" si="13"/>
        <v>108</v>
      </c>
      <c r="I21" s="76">
        <f t="shared" si="13"/>
        <v>32626.031412800003</v>
      </c>
      <c r="J21" s="76">
        <f t="shared" si="13"/>
        <v>3600</v>
      </c>
      <c r="K21" s="76">
        <f t="shared" si="13"/>
        <v>4000</v>
      </c>
      <c r="L21" s="76">
        <f t="shared" si="13"/>
        <v>6231.6641968000004</v>
      </c>
      <c r="M21" s="76">
        <f t="shared" ref="M21:AD21" si="14">M18</f>
        <v>65402.062825600005</v>
      </c>
      <c r="N21" s="76">
        <f>N18</f>
        <v>4175</v>
      </c>
      <c r="O21" s="76">
        <f t="shared" si="14"/>
        <v>0</v>
      </c>
      <c r="P21" s="75">
        <f t="shared" si="14"/>
        <v>3055</v>
      </c>
      <c r="Q21" s="76">
        <f t="shared" si="14"/>
        <v>20958.329706599994</v>
      </c>
      <c r="R21" s="76">
        <f t="shared" si="14"/>
        <v>140336.08814179999</v>
      </c>
      <c r="S21" s="76">
        <f>S18</f>
        <v>111777.7584352</v>
      </c>
      <c r="T21" s="76">
        <f t="shared" si="14"/>
        <v>119377.7584352</v>
      </c>
      <c r="U21" s="76">
        <f t="shared" si="14"/>
        <v>20958.329706599994</v>
      </c>
      <c r="V21" s="76">
        <f t="shared" si="14"/>
        <v>12295.553427872001</v>
      </c>
      <c r="W21" s="77">
        <f t="shared" si="14"/>
        <v>0</v>
      </c>
      <c r="X21" s="77">
        <f t="shared" si="14"/>
        <v>10002</v>
      </c>
      <c r="Y21" s="76">
        <f>Y18</f>
        <v>1820</v>
      </c>
      <c r="Z21" s="75">
        <f>Z18</f>
        <v>1695</v>
      </c>
      <c r="AA21" s="75">
        <f t="shared" si="14"/>
        <v>0</v>
      </c>
      <c r="AB21" s="75">
        <f>AB18</f>
        <v>929990.46008793591</v>
      </c>
      <c r="AC21" s="75">
        <f t="shared" si="14"/>
        <v>5528.0243364655998</v>
      </c>
      <c r="AD21" s="75">
        <f t="shared" si="14"/>
        <v>52298.9074709376</v>
      </c>
      <c r="AE21" s="78">
        <f>AE18</f>
        <v>88037.180670862406</v>
      </c>
      <c r="AF21" s="62"/>
    </row>
    <row r="22" spans="1:45" s="3" customFormat="1" ht="249.95" customHeight="1">
      <c r="A22" s="60">
        <v>13</v>
      </c>
      <c r="B22" s="92" t="s">
        <v>47</v>
      </c>
      <c r="C22" s="32"/>
      <c r="D22" s="32"/>
      <c r="E22" s="32"/>
      <c r="F22" s="33">
        <v>0</v>
      </c>
      <c r="G22" s="24">
        <v>15</v>
      </c>
      <c r="H22" s="24">
        <v>10</v>
      </c>
      <c r="I22" s="24">
        <v>2493.02</v>
      </c>
      <c r="J22" s="24">
        <v>300</v>
      </c>
      <c r="K22" s="15">
        <f>500*(22-C22)/22</f>
        <v>500</v>
      </c>
      <c r="L22" s="24">
        <v>770</v>
      </c>
      <c r="M22" s="15">
        <f>(I22*200%)</f>
        <v>4986.04</v>
      </c>
      <c r="N22" s="24">
        <v>360</v>
      </c>
      <c r="O22" s="24">
        <v>0</v>
      </c>
      <c r="P22" s="15">
        <f>(I22*F22)*(30-E22)/30</f>
        <v>0</v>
      </c>
      <c r="Q22" s="15">
        <f t="shared" ref="Q22:Q37" si="15">(G22+H22+I22+L22+M22+N22+P22+O22)*18.75%</f>
        <v>1618.88625</v>
      </c>
      <c r="R22" s="24">
        <f t="shared" ref="R22:R44" si="16">SUM(G22:Q22)</f>
        <v>11052.946249999999</v>
      </c>
      <c r="S22" s="24">
        <f t="shared" ref="S22:S37" si="17">G22+H22+I22+L22+M22+N22+O22+P22</f>
        <v>8634.06</v>
      </c>
      <c r="T22" s="15">
        <f t="shared" ref="T22:T37" si="18">G22+H22+I22+J22+K22+L22+M22+N22+O22+P22</f>
        <v>9434.06</v>
      </c>
      <c r="U22" s="15">
        <f t="shared" ref="U22:U37" si="19">Q22</f>
        <v>1618.88625</v>
      </c>
      <c r="V22" s="15">
        <f t="shared" ref="V22:V37" si="20">(G22+H22+I22+L22+M22+N22+P22+O22)*11%</f>
        <v>949.74659999999994</v>
      </c>
      <c r="W22" s="24">
        <v>0</v>
      </c>
      <c r="X22" s="24">
        <v>833</v>
      </c>
      <c r="Y22" s="15">
        <v>0</v>
      </c>
      <c r="Z22" s="15">
        <v>135</v>
      </c>
      <c r="AA22" s="15">
        <f>M22/30*D22</f>
        <v>0</v>
      </c>
      <c r="AB22" s="16">
        <f t="shared" ref="AB22:AB37" si="21">SUM(I22+L22+M22+N22+O22+P22)*12-(V22+Z22)*12-20000</f>
        <v>70291.760800000004</v>
      </c>
      <c r="AC22" s="16">
        <f t="shared" ref="AC22:AC37" si="22">IF(AB22&lt;=40000,AB22*0%,IF(AB22&lt;=45000,AB22*10%-4000,IF(AB22&lt;=60000,AB22*15%-6250,IF(AB22&lt;=200000,AB22*20%-10250,""))))/12</f>
        <v>317.36268000000018</v>
      </c>
      <c r="AD22" s="24">
        <f>U22+V22+W22+X22+Y22+Z22+AA22+AC22</f>
        <v>3853.9955300000001</v>
      </c>
      <c r="AE22" s="79">
        <f t="shared" ref="AE22:AE37" si="23">R22-AD22</f>
        <v>7198.9507199999989</v>
      </c>
      <c r="AF22" s="63"/>
    </row>
    <row r="23" spans="1:45" s="3" customFormat="1" ht="249.95" customHeight="1">
      <c r="A23" s="60">
        <v>14</v>
      </c>
      <c r="B23" s="92" t="s">
        <v>40</v>
      </c>
      <c r="C23" s="32"/>
      <c r="D23" s="32"/>
      <c r="E23" s="32"/>
      <c r="F23" s="33">
        <v>0</v>
      </c>
      <c r="G23" s="15">
        <v>15</v>
      </c>
      <c r="H23" s="24">
        <v>10</v>
      </c>
      <c r="I23" s="24">
        <v>2666.9284399999997</v>
      </c>
      <c r="J23" s="24">
        <v>300</v>
      </c>
      <c r="K23" s="15">
        <v>550</v>
      </c>
      <c r="L23" s="24">
        <f>I23*60%</f>
        <v>1600.1570639999998</v>
      </c>
      <c r="M23" s="15">
        <f>(I23*200%)+50*(30-E23)/30</f>
        <v>5383.8568799999994</v>
      </c>
      <c r="N23" s="24">
        <v>850</v>
      </c>
      <c r="O23" s="24">
        <v>0</v>
      </c>
      <c r="P23" s="15">
        <f>(I23*F23)*(30-E23)/30</f>
        <v>0</v>
      </c>
      <c r="Q23" s="15">
        <f t="shared" si="15"/>
        <v>1973.6141969999996</v>
      </c>
      <c r="R23" s="24">
        <f t="shared" si="16"/>
        <v>13349.556580999997</v>
      </c>
      <c r="S23" s="24">
        <f t="shared" si="17"/>
        <v>10525.942383999998</v>
      </c>
      <c r="T23" s="15">
        <f t="shared" si="18"/>
        <v>11375.942383999998</v>
      </c>
      <c r="U23" s="15">
        <f t="shared" si="19"/>
        <v>1973.6141969999996</v>
      </c>
      <c r="V23" s="15">
        <f t="shared" si="20"/>
        <v>1157.8536622399997</v>
      </c>
      <c r="W23" s="24">
        <v>0</v>
      </c>
      <c r="X23" s="24">
        <v>1666</v>
      </c>
      <c r="Y23" s="24">
        <v>0</v>
      </c>
      <c r="Z23" s="15">
        <v>135</v>
      </c>
      <c r="AA23" s="15">
        <f>M23/30*D23</f>
        <v>0</v>
      </c>
      <c r="AB23" s="16">
        <f t="shared" si="21"/>
        <v>90497.064661119977</v>
      </c>
      <c r="AC23" s="16">
        <f t="shared" si="22"/>
        <v>654.1177443519997</v>
      </c>
      <c r="AD23" s="24">
        <f t="shared" ref="AD23:AD37" si="24">U23+V23+W23+X23+Y23+Z23+AA23+AC23</f>
        <v>5586.5856035919996</v>
      </c>
      <c r="AE23" s="79">
        <f t="shared" si="23"/>
        <v>7762.9709774079975</v>
      </c>
      <c r="AF23" s="63"/>
    </row>
    <row r="24" spans="1:45" s="3" customFormat="1" ht="249.95" customHeight="1">
      <c r="A24" s="60">
        <v>15</v>
      </c>
      <c r="B24" s="92" t="s">
        <v>39</v>
      </c>
      <c r="C24" s="32"/>
      <c r="D24" s="32"/>
      <c r="E24" s="32"/>
      <c r="F24" s="33">
        <v>0.25</v>
      </c>
      <c r="G24" s="24">
        <v>15</v>
      </c>
      <c r="H24" s="24">
        <v>10</v>
      </c>
      <c r="I24" s="24">
        <v>2389.96</v>
      </c>
      <c r="J24" s="24">
        <v>300</v>
      </c>
      <c r="K24" s="15">
        <f>500*(22-C24)/22</f>
        <v>500</v>
      </c>
      <c r="L24" s="24">
        <v>0</v>
      </c>
      <c r="M24" s="15">
        <f t="shared" ref="M24:M37" si="25">(I24*200%)*(30-E24)/30</f>
        <v>4779.92</v>
      </c>
      <c r="N24" s="24">
        <v>350</v>
      </c>
      <c r="O24" s="24">
        <v>0</v>
      </c>
      <c r="P24" s="15">
        <v>760</v>
      </c>
      <c r="Q24" s="15">
        <f t="shared" si="15"/>
        <v>1557.1650000000002</v>
      </c>
      <c r="R24" s="24">
        <f t="shared" si="16"/>
        <v>10662.045000000002</v>
      </c>
      <c r="S24" s="24">
        <f t="shared" si="17"/>
        <v>8304.880000000001</v>
      </c>
      <c r="T24" s="15">
        <f t="shared" si="18"/>
        <v>9104.880000000001</v>
      </c>
      <c r="U24" s="15">
        <f t="shared" si="19"/>
        <v>1557.1650000000002</v>
      </c>
      <c r="V24" s="15">
        <f t="shared" si="20"/>
        <v>913.53680000000008</v>
      </c>
      <c r="W24" s="24">
        <v>0</v>
      </c>
      <c r="X24" s="24">
        <v>1250</v>
      </c>
      <c r="Y24" s="24">
        <v>0</v>
      </c>
      <c r="Z24" s="15">
        <v>135</v>
      </c>
      <c r="AA24" s="15">
        <f>M24/30*D24</f>
        <v>0</v>
      </c>
      <c r="AB24" s="16">
        <f t="shared" si="21"/>
        <v>66776.118400000007</v>
      </c>
      <c r="AC24" s="16">
        <f t="shared" si="22"/>
        <v>258.76864000000023</v>
      </c>
      <c r="AD24" s="24">
        <f t="shared" si="24"/>
        <v>4114.470440000001</v>
      </c>
      <c r="AE24" s="79">
        <f t="shared" si="23"/>
        <v>6547.5745600000009</v>
      </c>
      <c r="AF24" s="63"/>
    </row>
    <row r="25" spans="1:45" s="3" customFormat="1" ht="249.95" customHeight="1">
      <c r="A25" s="60">
        <v>16</v>
      </c>
      <c r="B25" s="92" t="s">
        <v>65</v>
      </c>
      <c r="C25" s="32"/>
      <c r="D25" s="32"/>
      <c r="E25" s="32"/>
      <c r="F25" s="33">
        <v>0</v>
      </c>
      <c r="G25" s="15">
        <v>15</v>
      </c>
      <c r="H25" s="15">
        <v>4</v>
      </c>
      <c r="I25" s="15">
        <v>2262.9300000000003</v>
      </c>
      <c r="J25" s="24">
        <v>300</v>
      </c>
      <c r="K25" s="15">
        <v>0</v>
      </c>
      <c r="L25" s="15">
        <v>0</v>
      </c>
      <c r="M25" s="15">
        <f t="shared" si="25"/>
        <v>4525.8600000000006</v>
      </c>
      <c r="N25" s="24">
        <v>0</v>
      </c>
      <c r="O25" s="24">
        <v>0</v>
      </c>
      <c r="P25" s="15">
        <f>(I25*F25)*(30-E25)/30</f>
        <v>0</v>
      </c>
      <c r="Q25" s="15">
        <f t="shared" si="15"/>
        <v>1276.4606250000002</v>
      </c>
      <c r="R25" s="24">
        <f t="shared" si="16"/>
        <v>8384.2506250000006</v>
      </c>
      <c r="S25" s="24">
        <f t="shared" si="17"/>
        <v>6807.7900000000009</v>
      </c>
      <c r="T25" s="15">
        <f t="shared" si="18"/>
        <v>7107.7900000000009</v>
      </c>
      <c r="U25" s="15">
        <f t="shared" si="19"/>
        <v>1276.4606250000002</v>
      </c>
      <c r="V25" s="15">
        <f t="shared" si="20"/>
        <v>748.85690000000011</v>
      </c>
      <c r="W25" s="24">
        <v>0</v>
      </c>
      <c r="X25" s="24">
        <v>0</v>
      </c>
      <c r="Y25" s="24">
        <v>0</v>
      </c>
      <c r="Z25" s="15">
        <v>135</v>
      </c>
      <c r="AA25" s="15">
        <f>M25/30*D25</f>
        <v>0</v>
      </c>
      <c r="AB25" s="16">
        <f t="shared" si="21"/>
        <v>50859.19720000001</v>
      </c>
      <c r="AC25" s="16">
        <f t="shared" si="22"/>
        <v>114.90663166666673</v>
      </c>
      <c r="AD25" s="24">
        <f t="shared" si="24"/>
        <v>2275.2241566666671</v>
      </c>
      <c r="AE25" s="79">
        <f t="shared" si="23"/>
        <v>6109.0264683333335</v>
      </c>
      <c r="AF25" s="63"/>
    </row>
    <row r="26" spans="1:45" s="3" customFormat="1" ht="204.75" customHeight="1">
      <c r="A26" s="60">
        <v>17</v>
      </c>
      <c r="B26" s="92" t="s">
        <v>52</v>
      </c>
      <c r="C26" s="32"/>
      <c r="D26" s="32"/>
      <c r="E26" s="32"/>
      <c r="F26" s="33">
        <v>0</v>
      </c>
      <c r="G26" s="24">
        <v>15</v>
      </c>
      <c r="H26" s="24">
        <v>10</v>
      </c>
      <c r="I26" s="24">
        <v>2172.25</v>
      </c>
      <c r="J26" s="24">
        <v>300</v>
      </c>
      <c r="K26" s="15">
        <f t="shared" ref="K26:K37" si="26">500*(22-C26)/22</f>
        <v>500</v>
      </c>
      <c r="L26" s="24">
        <v>795</v>
      </c>
      <c r="M26" s="15">
        <f t="shared" si="25"/>
        <v>4344.5</v>
      </c>
      <c r="N26" s="24">
        <v>375</v>
      </c>
      <c r="O26" s="24">
        <v>0</v>
      </c>
      <c r="P26" s="15">
        <f>(I26*F26)*(30-E26)/30</f>
        <v>0</v>
      </c>
      <c r="Q26" s="15">
        <v>1273.453125</v>
      </c>
      <c r="R26" s="24">
        <f t="shared" si="16"/>
        <v>9785.203125</v>
      </c>
      <c r="S26" s="24">
        <f t="shared" si="17"/>
        <v>7711.75</v>
      </c>
      <c r="T26" s="15">
        <f t="shared" si="18"/>
        <v>8511.75</v>
      </c>
      <c r="U26" s="15">
        <f t="shared" si="19"/>
        <v>1273.453125</v>
      </c>
      <c r="V26" s="15">
        <v>747.09249999999997</v>
      </c>
      <c r="W26" s="24">
        <v>0</v>
      </c>
      <c r="X26" s="24">
        <v>1250</v>
      </c>
      <c r="Y26" s="24">
        <v>0</v>
      </c>
      <c r="Z26" s="15">
        <v>120</v>
      </c>
      <c r="AA26" s="15">
        <f>M26/30*D26</f>
        <v>0</v>
      </c>
      <c r="AB26" s="16">
        <f t="shared" si="21"/>
        <v>61835.89</v>
      </c>
      <c r="AC26" s="16">
        <v>127.77</v>
      </c>
      <c r="AD26" s="24">
        <f t="shared" si="24"/>
        <v>3518.3156249999997</v>
      </c>
      <c r="AE26" s="79">
        <f t="shared" si="23"/>
        <v>6266.8875000000007</v>
      </c>
      <c r="AF26" s="63"/>
    </row>
    <row r="27" spans="1:45" s="3" customFormat="1" ht="184.5" customHeight="1">
      <c r="A27" s="60">
        <v>18</v>
      </c>
      <c r="B27" s="92" t="s">
        <v>54</v>
      </c>
      <c r="C27" s="32"/>
      <c r="D27" s="32"/>
      <c r="E27" s="32"/>
      <c r="F27" s="33">
        <v>0</v>
      </c>
      <c r="G27" s="15">
        <v>15</v>
      </c>
      <c r="H27" s="15">
        <v>10</v>
      </c>
      <c r="I27" s="15">
        <v>2503.4300000000003</v>
      </c>
      <c r="J27" s="24">
        <v>300</v>
      </c>
      <c r="K27" s="15">
        <f t="shared" si="26"/>
        <v>500</v>
      </c>
      <c r="L27" s="24">
        <v>0</v>
      </c>
      <c r="M27" s="15">
        <f t="shared" si="25"/>
        <v>5006.8600000000006</v>
      </c>
      <c r="N27" s="15">
        <v>250</v>
      </c>
      <c r="O27" s="24">
        <v>0</v>
      </c>
      <c r="P27" s="15">
        <v>0</v>
      </c>
      <c r="Q27" s="15">
        <f t="shared" si="15"/>
        <v>1459.7418750000002</v>
      </c>
      <c r="R27" s="24">
        <f t="shared" si="16"/>
        <v>10045.031875000001</v>
      </c>
      <c r="S27" s="24">
        <f t="shared" si="17"/>
        <v>7785.2900000000009</v>
      </c>
      <c r="T27" s="15">
        <f t="shared" si="18"/>
        <v>8585.2900000000009</v>
      </c>
      <c r="U27" s="15">
        <f t="shared" si="19"/>
        <v>1459.7418750000002</v>
      </c>
      <c r="V27" s="15">
        <f t="shared" si="20"/>
        <v>856.38190000000009</v>
      </c>
      <c r="W27" s="24">
        <v>0</v>
      </c>
      <c r="X27" s="24">
        <v>1250</v>
      </c>
      <c r="Y27" s="15">
        <v>0</v>
      </c>
      <c r="Z27" s="15">
        <v>135</v>
      </c>
      <c r="AA27" s="15">
        <v>0</v>
      </c>
      <c r="AB27" s="16">
        <f t="shared" si="21"/>
        <v>61226.897200000007</v>
      </c>
      <c r="AC27" s="16">
        <f t="shared" si="22"/>
        <v>166.2816200000002</v>
      </c>
      <c r="AD27" s="24">
        <f t="shared" si="24"/>
        <v>3867.4053950000002</v>
      </c>
      <c r="AE27" s="79">
        <f t="shared" si="23"/>
        <v>6177.6264800000008</v>
      </c>
      <c r="AF27" s="63"/>
    </row>
    <row r="28" spans="1:45" s="3" customFormat="1" ht="159.75" customHeight="1">
      <c r="A28" s="60">
        <v>19</v>
      </c>
      <c r="B28" s="92" t="s">
        <v>53</v>
      </c>
      <c r="C28" s="32"/>
      <c r="D28" s="32"/>
      <c r="E28" s="32"/>
      <c r="F28" s="33">
        <v>0</v>
      </c>
      <c r="G28" s="24">
        <v>15</v>
      </c>
      <c r="H28" s="15">
        <v>8</v>
      </c>
      <c r="I28" s="15">
        <v>2634.38</v>
      </c>
      <c r="J28" s="24">
        <v>300</v>
      </c>
      <c r="K28" s="15">
        <f t="shared" si="26"/>
        <v>500</v>
      </c>
      <c r="L28" s="15">
        <v>625</v>
      </c>
      <c r="M28" s="15">
        <f t="shared" si="25"/>
        <v>5268.76</v>
      </c>
      <c r="N28" s="15">
        <v>300</v>
      </c>
      <c r="O28" s="24">
        <v>0</v>
      </c>
      <c r="P28" s="15">
        <f>(I28*F28)*(30-E28)/30</f>
        <v>0</v>
      </c>
      <c r="Q28" s="15">
        <f t="shared" si="15"/>
        <v>1659.5887499999999</v>
      </c>
      <c r="R28" s="24">
        <f t="shared" si="16"/>
        <v>11310.728749999998</v>
      </c>
      <c r="S28" s="24">
        <f t="shared" si="17"/>
        <v>8851.14</v>
      </c>
      <c r="T28" s="15">
        <f t="shared" si="18"/>
        <v>9651.14</v>
      </c>
      <c r="U28" s="15">
        <f t="shared" si="19"/>
        <v>1659.5887499999999</v>
      </c>
      <c r="V28" s="15">
        <f t="shared" si="20"/>
        <v>973.6253999999999</v>
      </c>
      <c r="W28" s="24">
        <v>0</v>
      </c>
      <c r="X28" s="24">
        <v>0</v>
      </c>
      <c r="Y28" s="15">
        <v>0</v>
      </c>
      <c r="Z28" s="15">
        <v>135</v>
      </c>
      <c r="AA28" s="15">
        <v>0</v>
      </c>
      <c r="AB28" s="16">
        <f t="shared" si="21"/>
        <v>72634.175199999998</v>
      </c>
      <c r="AC28" s="16">
        <f t="shared" si="22"/>
        <v>356.40291999999999</v>
      </c>
      <c r="AD28" s="24">
        <f t="shared" si="24"/>
        <v>3124.6170699999998</v>
      </c>
      <c r="AE28" s="79">
        <f t="shared" si="23"/>
        <v>8186.1116799999982</v>
      </c>
      <c r="AF28" s="63"/>
    </row>
    <row r="29" spans="1:45" ht="210" customHeight="1">
      <c r="A29" s="60">
        <v>20</v>
      </c>
      <c r="B29" s="92" t="s">
        <v>55</v>
      </c>
      <c r="C29" s="32"/>
      <c r="D29" s="32"/>
      <c r="E29" s="32"/>
      <c r="F29" s="33">
        <v>0</v>
      </c>
      <c r="G29" s="15">
        <v>15</v>
      </c>
      <c r="H29" s="15">
        <v>10</v>
      </c>
      <c r="I29" s="15">
        <v>1987.96</v>
      </c>
      <c r="J29" s="24">
        <v>300</v>
      </c>
      <c r="K29" s="15">
        <f t="shared" si="26"/>
        <v>500</v>
      </c>
      <c r="L29" s="15">
        <v>700</v>
      </c>
      <c r="M29" s="15">
        <f t="shared" si="25"/>
        <v>3975.92</v>
      </c>
      <c r="N29" s="24">
        <v>360</v>
      </c>
      <c r="O29" s="24">
        <v>0</v>
      </c>
      <c r="P29" s="15">
        <f>(I29*F29)*(30-E29)/30</f>
        <v>0</v>
      </c>
      <c r="Q29" s="15">
        <f t="shared" si="15"/>
        <v>1321.665</v>
      </c>
      <c r="R29" s="24">
        <f t="shared" si="16"/>
        <v>9170.5450000000001</v>
      </c>
      <c r="S29" s="24">
        <f t="shared" si="17"/>
        <v>7048.88</v>
      </c>
      <c r="T29" s="15">
        <f t="shared" si="18"/>
        <v>7848.88</v>
      </c>
      <c r="U29" s="15">
        <f t="shared" si="19"/>
        <v>1321.665</v>
      </c>
      <c r="V29" s="15">
        <f t="shared" si="20"/>
        <v>775.3768</v>
      </c>
      <c r="W29" s="24">
        <v>0</v>
      </c>
      <c r="X29" s="24">
        <v>0</v>
      </c>
      <c r="Y29" s="24">
        <v>0</v>
      </c>
      <c r="Z29" s="15">
        <v>135</v>
      </c>
      <c r="AA29" s="15">
        <f t="shared" ref="AA29:AA34" si="27">M29/30*D29</f>
        <v>0</v>
      </c>
      <c r="AB29" s="16">
        <f t="shared" si="21"/>
        <v>53362.03839999999</v>
      </c>
      <c r="AC29" s="16">
        <f t="shared" si="22"/>
        <v>146.19214666666653</v>
      </c>
      <c r="AD29" s="24">
        <f t="shared" si="24"/>
        <v>2378.2339466666663</v>
      </c>
      <c r="AE29" s="79">
        <f t="shared" si="23"/>
        <v>6792.3110533333338</v>
      </c>
      <c r="AF29" s="64"/>
      <c r="AS29" s="3"/>
    </row>
    <row r="30" spans="1:45" ht="196.5" customHeight="1">
      <c r="A30" s="60">
        <v>21</v>
      </c>
      <c r="B30" s="92" t="s">
        <v>57</v>
      </c>
      <c r="C30" s="32"/>
      <c r="D30" s="32"/>
      <c r="E30" s="32"/>
      <c r="F30" s="33">
        <v>0</v>
      </c>
      <c r="G30" s="15">
        <v>15</v>
      </c>
      <c r="H30" s="15">
        <v>10</v>
      </c>
      <c r="I30" s="15">
        <v>1998.89</v>
      </c>
      <c r="J30" s="24">
        <v>300</v>
      </c>
      <c r="K30" s="15">
        <f t="shared" si="26"/>
        <v>500</v>
      </c>
      <c r="L30" s="15">
        <v>0</v>
      </c>
      <c r="M30" s="15">
        <f t="shared" si="25"/>
        <v>3997.78</v>
      </c>
      <c r="N30" s="24">
        <v>220</v>
      </c>
      <c r="O30" s="24">
        <v>0</v>
      </c>
      <c r="P30" s="15">
        <v>420</v>
      </c>
      <c r="Q30" s="15">
        <f t="shared" si="15"/>
        <v>1249.0631250000001</v>
      </c>
      <c r="R30" s="24">
        <f t="shared" si="16"/>
        <v>8710.7331250000007</v>
      </c>
      <c r="S30" s="24">
        <f t="shared" si="17"/>
        <v>6661.67</v>
      </c>
      <c r="T30" s="15">
        <f t="shared" si="18"/>
        <v>7461.67</v>
      </c>
      <c r="U30" s="15">
        <f t="shared" si="19"/>
        <v>1249.0631250000001</v>
      </c>
      <c r="V30" s="15">
        <f t="shared" si="20"/>
        <v>732.78370000000007</v>
      </c>
      <c r="W30" s="24">
        <v>0</v>
      </c>
      <c r="X30" s="24">
        <v>1250</v>
      </c>
      <c r="Y30" s="24">
        <v>0</v>
      </c>
      <c r="Z30" s="15">
        <v>120</v>
      </c>
      <c r="AA30" s="15">
        <f t="shared" si="27"/>
        <v>0</v>
      </c>
      <c r="AB30" s="16">
        <f t="shared" si="21"/>
        <v>49406.635600000009</v>
      </c>
      <c r="AC30" s="16">
        <f t="shared" si="22"/>
        <v>96.74961166666678</v>
      </c>
      <c r="AD30" s="24">
        <f t="shared" si="24"/>
        <v>3448.5964366666667</v>
      </c>
      <c r="AE30" s="79">
        <f t="shared" si="23"/>
        <v>5262.136688333334</v>
      </c>
      <c r="AF30" s="64"/>
    </row>
    <row r="31" spans="1:45" ht="201.75" customHeight="1">
      <c r="A31" s="60">
        <v>22</v>
      </c>
      <c r="B31" s="92" t="s">
        <v>51</v>
      </c>
      <c r="C31" s="32"/>
      <c r="D31" s="32"/>
      <c r="E31" s="32"/>
      <c r="F31" s="33">
        <v>0</v>
      </c>
      <c r="G31" s="15">
        <v>15</v>
      </c>
      <c r="H31" s="15">
        <v>6</v>
      </c>
      <c r="I31" s="15">
        <v>1716.76</v>
      </c>
      <c r="J31" s="24">
        <v>300</v>
      </c>
      <c r="K31" s="15">
        <f t="shared" si="26"/>
        <v>500</v>
      </c>
      <c r="L31" s="24">
        <v>450</v>
      </c>
      <c r="M31" s="15">
        <f t="shared" si="25"/>
        <v>3433.52</v>
      </c>
      <c r="N31" s="24">
        <v>310</v>
      </c>
      <c r="O31" s="24">
        <v>0</v>
      </c>
      <c r="P31" s="15">
        <f>(I31*F31)*(30-E31)/30</f>
        <v>0</v>
      </c>
      <c r="Q31" s="15">
        <f t="shared" si="15"/>
        <v>1112.1150000000002</v>
      </c>
      <c r="R31" s="24">
        <f t="shared" si="16"/>
        <v>7843.3950000000004</v>
      </c>
      <c r="S31" s="24">
        <f t="shared" si="17"/>
        <v>5931.2800000000007</v>
      </c>
      <c r="T31" s="15">
        <f t="shared" si="18"/>
        <v>6731.2800000000007</v>
      </c>
      <c r="U31" s="15">
        <f t="shared" si="19"/>
        <v>1112.1150000000002</v>
      </c>
      <c r="V31" s="15">
        <f t="shared" si="20"/>
        <v>652.44080000000008</v>
      </c>
      <c r="W31" s="24">
        <v>0</v>
      </c>
      <c r="X31" s="24">
        <v>1250</v>
      </c>
      <c r="Y31" s="24">
        <v>0</v>
      </c>
      <c r="Z31" s="15">
        <v>75</v>
      </c>
      <c r="AA31" s="15">
        <f t="shared" si="27"/>
        <v>0</v>
      </c>
      <c r="AB31" s="16">
        <f t="shared" si="21"/>
        <v>42194.070400000011</v>
      </c>
      <c r="AC31" s="16">
        <f t="shared" si="22"/>
        <v>18.28392000000008</v>
      </c>
      <c r="AD31" s="24">
        <f t="shared" si="24"/>
        <v>3107.8397199999999</v>
      </c>
      <c r="AE31" s="79">
        <f t="shared" si="23"/>
        <v>4735.5552800000005</v>
      </c>
      <c r="AF31" s="64"/>
    </row>
    <row r="32" spans="1:45" ht="212.25" customHeight="1">
      <c r="A32" s="60">
        <v>23</v>
      </c>
      <c r="B32" s="92" t="s">
        <v>49</v>
      </c>
      <c r="C32" s="32"/>
      <c r="D32" s="32"/>
      <c r="E32" s="32"/>
      <c r="F32" s="33">
        <v>0</v>
      </c>
      <c r="G32" s="15">
        <v>15</v>
      </c>
      <c r="H32" s="15">
        <v>10</v>
      </c>
      <c r="I32" s="15">
        <v>1587.49</v>
      </c>
      <c r="J32" s="24">
        <v>300</v>
      </c>
      <c r="K32" s="15">
        <f t="shared" si="26"/>
        <v>500</v>
      </c>
      <c r="L32" s="15">
        <v>0</v>
      </c>
      <c r="M32" s="15">
        <f t="shared" si="25"/>
        <v>3174.98</v>
      </c>
      <c r="N32" s="24">
        <v>200</v>
      </c>
      <c r="O32" s="24">
        <v>0</v>
      </c>
      <c r="P32" s="15">
        <f>(I32*F32)*(30-E32)/30</f>
        <v>0</v>
      </c>
      <c r="Q32" s="15">
        <f t="shared" si="15"/>
        <v>935.15062499999999</v>
      </c>
      <c r="R32" s="24">
        <f t="shared" si="16"/>
        <v>6722.6206249999996</v>
      </c>
      <c r="S32" s="24">
        <f t="shared" si="17"/>
        <v>4987.47</v>
      </c>
      <c r="T32" s="15">
        <f t="shared" si="18"/>
        <v>5787.4699999999993</v>
      </c>
      <c r="U32" s="15">
        <f t="shared" si="19"/>
        <v>935.15062499999999</v>
      </c>
      <c r="V32" s="15">
        <f t="shared" si="20"/>
        <v>548.62170000000003</v>
      </c>
      <c r="W32" s="24">
        <v>0</v>
      </c>
      <c r="X32" s="24">
        <v>1000</v>
      </c>
      <c r="Y32" s="24">
        <v>1030.3900000000001</v>
      </c>
      <c r="Z32" s="15">
        <v>127.5</v>
      </c>
      <c r="AA32" s="15">
        <v>0</v>
      </c>
      <c r="AB32" s="16">
        <f t="shared" si="21"/>
        <v>31436.179600000003</v>
      </c>
      <c r="AC32" s="16">
        <f t="shared" si="22"/>
        <v>0</v>
      </c>
      <c r="AD32" s="24">
        <f t="shared" si="24"/>
        <v>3641.6623250000002</v>
      </c>
      <c r="AE32" s="79">
        <f t="shared" si="23"/>
        <v>3080.9582999999993</v>
      </c>
      <c r="AF32" s="64"/>
    </row>
    <row r="33" spans="1:45" ht="168.75" customHeight="1">
      <c r="A33" s="60">
        <v>24</v>
      </c>
      <c r="B33" s="92" t="s">
        <v>50</v>
      </c>
      <c r="C33" s="32"/>
      <c r="D33" s="32"/>
      <c r="E33" s="32"/>
      <c r="F33" s="33">
        <v>0</v>
      </c>
      <c r="G33" s="15">
        <v>15</v>
      </c>
      <c r="H33" s="15">
        <v>4</v>
      </c>
      <c r="I33" s="15">
        <v>1542.66</v>
      </c>
      <c r="J33" s="24">
        <v>300</v>
      </c>
      <c r="K33" s="15">
        <f t="shared" si="26"/>
        <v>500</v>
      </c>
      <c r="L33" s="15">
        <v>0</v>
      </c>
      <c r="M33" s="15">
        <f t="shared" si="25"/>
        <v>3085.32</v>
      </c>
      <c r="N33" s="24">
        <v>200</v>
      </c>
      <c r="O33" s="24">
        <v>0</v>
      </c>
      <c r="P33" s="15">
        <v>420</v>
      </c>
      <c r="Q33" s="15">
        <f t="shared" si="15"/>
        <v>987.55875000000015</v>
      </c>
      <c r="R33" s="24">
        <f t="shared" si="16"/>
        <v>7054.5387499999997</v>
      </c>
      <c r="S33" s="24">
        <f t="shared" si="17"/>
        <v>5266.9800000000005</v>
      </c>
      <c r="T33" s="15">
        <f t="shared" si="18"/>
        <v>6066.98</v>
      </c>
      <c r="U33" s="15">
        <f t="shared" si="19"/>
        <v>987.55875000000015</v>
      </c>
      <c r="V33" s="15">
        <f t="shared" si="20"/>
        <v>579.3678000000001</v>
      </c>
      <c r="W33" s="24">
        <v>0</v>
      </c>
      <c r="X33" s="24">
        <v>1666</v>
      </c>
      <c r="Y33" s="24">
        <v>0</v>
      </c>
      <c r="Z33" s="15">
        <v>75</v>
      </c>
      <c r="AA33" s="15">
        <f t="shared" si="27"/>
        <v>0</v>
      </c>
      <c r="AB33" s="16">
        <f t="shared" si="21"/>
        <v>35123.346400000009</v>
      </c>
      <c r="AC33" s="16">
        <f t="shared" si="22"/>
        <v>0</v>
      </c>
      <c r="AD33" s="24">
        <f t="shared" si="24"/>
        <v>3307.9265500000001</v>
      </c>
      <c r="AE33" s="79">
        <f t="shared" si="23"/>
        <v>3746.6121999999996</v>
      </c>
      <c r="AF33" s="64"/>
    </row>
    <row r="34" spans="1:45" ht="169.5" customHeight="1">
      <c r="A34" s="60">
        <v>25</v>
      </c>
      <c r="B34" s="92" t="s">
        <v>63</v>
      </c>
      <c r="C34" s="32"/>
      <c r="D34" s="32"/>
      <c r="E34" s="32"/>
      <c r="F34" s="33">
        <v>0</v>
      </c>
      <c r="G34" s="15">
        <v>15</v>
      </c>
      <c r="H34" s="15">
        <v>10</v>
      </c>
      <c r="I34" s="15">
        <v>1650.91</v>
      </c>
      <c r="J34" s="24">
        <v>300</v>
      </c>
      <c r="K34" s="15">
        <f t="shared" si="26"/>
        <v>500</v>
      </c>
      <c r="L34" s="15">
        <v>0</v>
      </c>
      <c r="M34" s="15">
        <f t="shared" si="25"/>
        <v>3301.82</v>
      </c>
      <c r="N34" s="24">
        <v>0</v>
      </c>
      <c r="O34" s="24">
        <v>0</v>
      </c>
      <c r="P34" s="15">
        <f>(I34*F34)*(30-E34)/30</f>
        <v>0</v>
      </c>
      <c r="Q34" s="15">
        <f t="shared" si="15"/>
        <v>933.32437500000015</v>
      </c>
      <c r="R34" s="24">
        <f t="shared" si="16"/>
        <v>6711.0543749999997</v>
      </c>
      <c r="S34" s="24">
        <f t="shared" si="17"/>
        <v>4977.7300000000005</v>
      </c>
      <c r="T34" s="15">
        <f t="shared" si="18"/>
        <v>5777.73</v>
      </c>
      <c r="U34" s="15">
        <f t="shared" si="19"/>
        <v>933.32437500000015</v>
      </c>
      <c r="V34" s="15">
        <f t="shared" si="20"/>
        <v>547.55030000000011</v>
      </c>
      <c r="W34" s="24">
        <v>0</v>
      </c>
      <c r="X34" s="24">
        <v>0</v>
      </c>
      <c r="Y34" s="24">
        <v>0</v>
      </c>
      <c r="Z34" s="15">
        <v>120</v>
      </c>
      <c r="AA34" s="15">
        <f t="shared" si="27"/>
        <v>0</v>
      </c>
      <c r="AB34" s="16">
        <f t="shared" si="21"/>
        <v>31422.156400000007</v>
      </c>
      <c r="AC34" s="16">
        <f t="shared" si="22"/>
        <v>0</v>
      </c>
      <c r="AD34" s="24">
        <f t="shared" si="24"/>
        <v>1600.8746750000003</v>
      </c>
      <c r="AE34" s="79">
        <f t="shared" si="23"/>
        <v>5110.1796999999997</v>
      </c>
      <c r="AF34" s="64"/>
    </row>
    <row r="35" spans="1:45" ht="164.25" customHeight="1">
      <c r="A35" s="60">
        <v>26</v>
      </c>
      <c r="B35" s="92" t="s">
        <v>59</v>
      </c>
      <c r="C35" s="32"/>
      <c r="D35" s="32"/>
      <c r="E35" s="32"/>
      <c r="F35" s="33">
        <v>0</v>
      </c>
      <c r="G35" s="15">
        <v>15</v>
      </c>
      <c r="H35" s="15">
        <v>10</v>
      </c>
      <c r="I35" s="15">
        <v>1299</v>
      </c>
      <c r="J35" s="24">
        <v>300</v>
      </c>
      <c r="K35" s="15">
        <f t="shared" si="26"/>
        <v>500</v>
      </c>
      <c r="L35" s="15">
        <v>0</v>
      </c>
      <c r="M35" s="15">
        <f t="shared" si="25"/>
        <v>2598</v>
      </c>
      <c r="N35" s="24">
        <v>125</v>
      </c>
      <c r="O35" s="24">
        <v>0</v>
      </c>
      <c r="P35" s="15">
        <f>(I35*F35)*(30-E35)/30</f>
        <v>0</v>
      </c>
      <c r="Q35" s="15">
        <f t="shared" si="15"/>
        <v>758.8125</v>
      </c>
      <c r="R35" s="24">
        <f t="shared" si="16"/>
        <v>5605.8125</v>
      </c>
      <c r="S35" s="24">
        <f t="shared" si="17"/>
        <v>4047</v>
      </c>
      <c r="T35" s="15">
        <f t="shared" si="18"/>
        <v>4847</v>
      </c>
      <c r="U35" s="24">
        <f t="shared" si="19"/>
        <v>758.8125</v>
      </c>
      <c r="V35" s="15">
        <f t="shared" si="20"/>
        <v>445.17</v>
      </c>
      <c r="W35" s="24">
        <v>0</v>
      </c>
      <c r="X35" s="24">
        <v>666</v>
      </c>
      <c r="Y35" s="24">
        <v>0</v>
      </c>
      <c r="Z35" s="15">
        <v>150</v>
      </c>
      <c r="AA35" s="15">
        <v>0</v>
      </c>
      <c r="AB35" s="16">
        <f t="shared" si="21"/>
        <v>21121.96</v>
      </c>
      <c r="AC35" s="16">
        <f t="shared" si="22"/>
        <v>0</v>
      </c>
      <c r="AD35" s="24">
        <f t="shared" si="24"/>
        <v>2019.9825000000001</v>
      </c>
      <c r="AE35" s="79">
        <f t="shared" si="23"/>
        <v>3585.83</v>
      </c>
      <c r="AF35" s="64"/>
    </row>
    <row r="36" spans="1:45" ht="180" customHeight="1">
      <c r="A36" s="60">
        <v>27</v>
      </c>
      <c r="B36" s="100" t="s">
        <v>67</v>
      </c>
      <c r="C36" s="25"/>
      <c r="D36" s="26"/>
      <c r="E36" s="25"/>
      <c r="F36" s="33">
        <v>0</v>
      </c>
      <c r="G36" s="16">
        <v>15</v>
      </c>
      <c r="H36" s="16">
        <v>4</v>
      </c>
      <c r="I36" s="16">
        <v>1313.1399999999999</v>
      </c>
      <c r="J36" s="17">
        <v>300</v>
      </c>
      <c r="K36" s="15">
        <v>500</v>
      </c>
      <c r="L36" s="15">
        <v>230</v>
      </c>
      <c r="M36" s="15">
        <f t="shared" si="25"/>
        <v>2626.2799999999997</v>
      </c>
      <c r="N36" s="17">
        <v>375</v>
      </c>
      <c r="O36" s="17">
        <v>230</v>
      </c>
      <c r="P36" s="16">
        <v>0</v>
      </c>
      <c r="Q36" s="15">
        <f t="shared" si="15"/>
        <v>898.76625000000001</v>
      </c>
      <c r="R36" s="17">
        <f>SUM(G36:Q36)</f>
        <v>6492.1862499999997</v>
      </c>
      <c r="S36" s="24">
        <f t="shared" si="17"/>
        <v>4793.42</v>
      </c>
      <c r="T36" s="15">
        <f t="shared" si="18"/>
        <v>5593.42</v>
      </c>
      <c r="U36" s="17">
        <f t="shared" si="19"/>
        <v>898.76625000000001</v>
      </c>
      <c r="V36" s="15">
        <f t="shared" si="20"/>
        <v>527.27620000000002</v>
      </c>
      <c r="W36" s="24">
        <v>0</v>
      </c>
      <c r="X36" s="24">
        <v>833</v>
      </c>
      <c r="Y36" s="17">
        <v>1206</v>
      </c>
      <c r="Z36" s="16">
        <v>75</v>
      </c>
      <c r="AA36" s="15">
        <v>0</v>
      </c>
      <c r="AB36" s="16">
        <f t="shared" si="21"/>
        <v>30065.725599999998</v>
      </c>
      <c r="AC36" s="16">
        <f t="shared" si="22"/>
        <v>0</v>
      </c>
      <c r="AD36" s="24">
        <f t="shared" si="24"/>
        <v>3540.0424499999999</v>
      </c>
      <c r="AE36" s="79">
        <f t="shared" si="23"/>
        <v>2952.1437999999998</v>
      </c>
      <c r="AF36" s="64"/>
    </row>
    <row r="37" spans="1:45" ht="185.25" customHeight="1">
      <c r="A37" s="60">
        <v>28</v>
      </c>
      <c r="B37" s="92" t="s">
        <v>66</v>
      </c>
      <c r="C37" s="32"/>
      <c r="D37" s="32"/>
      <c r="E37" s="32"/>
      <c r="F37" s="33">
        <v>0</v>
      </c>
      <c r="G37" s="15">
        <v>15</v>
      </c>
      <c r="H37" s="15">
        <v>10</v>
      </c>
      <c r="I37" s="15">
        <v>1233.3699999999999</v>
      </c>
      <c r="J37" s="24">
        <v>300</v>
      </c>
      <c r="K37" s="15">
        <f t="shared" si="26"/>
        <v>500</v>
      </c>
      <c r="L37" s="15">
        <v>210</v>
      </c>
      <c r="M37" s="15">
        <f t="shared" si="25"/>
        <v>2466.7399999999998</v>
      </c>
      <c r="N37" s="24">
        <v>375</v>
      </c>
      <c r="O37" s="24">
        <v>210</v>
      </c>
      <c r="P37" s="15">
        <f>(I37*F37)*(30-E37)/30</f>
        <v>0</v>
      </c>
      <c r="Q37" s="15">
        <f t="shared" si="15"/>
        <v>847.52062499999988</v>
      </c>
      <c r="R37" s="24">
        <f t="shared" si="16"/>
        <v>6167.6306249999998</v>
      </c>
      <c r="S37" s="24">
        <f t="shared" si="17"/>
        <v>4520.1099999999997</v>
      </c>
      <c r="T37" s="15">
        <f t="shared" si="18"/>
        <v>5320.11</v>
      </c>
      <c r="U37" s="24">
        <f t="shared" si="19"/>
        <v>847.52062499999988</v>
      </c>
      <c r="V37" s="15">
        <f t="shared" si="20"/>
        <v>497.21209999999996</v>
      </c>
      <c r="W37" s="24">
        <v>0</v>
      </c>
      <c r="X37" s="24">
        <v>1250</v>
      </c>
      <c r="Y37" s="24">
        <v>0</v>
      </c>
      <c r="Z37" s="15">
        <v>75</v>
      </c>
      <c r="AA37" s="15">
        <v>0</v>
      </c>
      <c r="AB37" s="16">
        <f t="shared" si="21"/>
        <v>27074.774799999992</v>
      </c>
      <c r="AC37" s="16">
        <f t="shared" si="22"/>
        <v>0</v>
      </c>
      <c r="AD37" s="24">
        <f t="shared" si="24"/>
        <v>2669.7327249999998</v>
      </c>
      <c r="AE37" s="79">
        <f t="shared" si="23"/>
        <v>3497.8978999999999</v>
      </c>
      <c r="AF37" s="64"/>
    </row>
    <row r="38" spans="1:45" ht="182.25" customHeight="1" thickBot="1">
      <c r="A38" s="61"/>
      <c r="B38" s="80" t="s">
        <v>73</v>
      </c>
      <c r="C38" s="54"/>
      <c r="D38" s="54"/>
      <c r="E38" s="54"/>
      <c r="F38" s="55"/>
      <c r="G38" s="98">
        <f t="shared" ref="G38:AE38" si="28">SUM(G21:G37)</f>
        <v>420</v>
      </c>
      <c r="H38" s="98">
        <f t="shared" si="28"/>
        <v>244</v>
      </c>
      <c r="I38" s="98">
        <f t="shared" si="28"/>
        <v>64079.1098528</v>
      </c>
      <c r="J38" s="98">
        <f t="shared" si="28"/>
        <v>8400</v>
      </c>
      <c r="K38" s="98">
        <f t="shared" si="28"/>
        <v>11550</v>
      </c>
      <c r="L38" s="98">
        <f t="shared" si="28"/>
        <v>11611.821260799999</v>
      </c>
      <c r="M38" s="98">
        <f t="shared" si="28"/>
        <v>128358.2197056</v>
      </c>
      <c r="N38" s="98">
        <f t="shared" si="28"/>
        <v>8825</v>
      </c>
      <c r="O38" s="98">
        <f t="shared" si="28"/>
        <v>440</v>
      </c>
      <c r="P38" s="98">
        <f t="shared" si="28"/>
        <v>4655</v>
      </c>
      <c r="Q38" s="98">
        <f t="shared" si="28"/>
        <v>40821.215778599981</v>
      </c>
      <c r="R38" s="98">
        <f t="shared" si="28"/>
        <v>279404.36659780005</v>
      </c>
      <c r="S38" s="98">
        <f t="shared" si="28"/>
        <v>218633.15081920003</v>
      </c>
      <c r="T38" s="98">
        <f t="shared" si="28"/>
        <v>238583.15081920003</v>
      </c>
      <c r="U38" s="98">
        <f t="shared" si="28"/>
        <v>40821.215778599981</v>
      </c>
      <c r="V38" s="98">
        <f t="shared" si="28"/>
        <v>23948.446590111998</v>
      </c>
      <c r="W38" s="98">
        <f t="shared" si="28"/>
        <v>0</v>
      </c>
      <c r="X38" s="98">
        <f t="shared" si="28"/>
        <v>24166</v>
      </c>
      <c r="Y38" s="98">
        <f t="shared" si="28"/>
        <v>4056.3900000000003</v>
      </c>
      <c r="Z38" s="98">
        <f t="shared" si="28"/>
        <v>3577.5</v>
      </c>
      <c r="AA38" s="98">
        <f t="shared" si="28"/>
        <v>0</v>
      </c>
      <c r="AB38" s="98">
        <f t="shared" si="28"/>
        <v>1725318.4507490557</v>
      </c>
      <c r="AC38" s="98">
        <f t="shared" si="28"/>
        <v>7784.8602508176018</v>
      </c>
      <c r="AD38" s="98">
        <f t="shared" si="28"/>
        <v>104354.41261952957</v>
      </c>
      <c r="AE38" s="99">
        <f t="shared" si="28"/>
        <v>175049.95397827041</v>
      </c>
      <c r="AF38" s="65"/>
    </row>
    <row r="39" spans="1:45" ht="169.5" customHeight="1" thickTop="1">
      <c r="A39" s="34"/>
      <c r="B39" s="35"/>
      <c r="C39" s="36"/>
      <c r="D39" s="36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125" t="s">
        <v>24</v>
      </c>
      <c r="AE39" s="125"/>
    </row>
    <row r="40" spans="1:45" ht="362.25" customHeight="1" thickBot="1">
      <c r="A40" s="28"/>
      <c r="B40" s="136" t="s">
        <v>1</v>
      </c>
      <c r="C40" s="136"/>
      <c r="D40" s="136"/>
      <c r="E40" s="136"/>
      <c r="F40" s="136"/>
      <c r="G40" s="136"/>
      <c r="H40" s="136"/>
      <c r="I40" s="19"/>
      <c r="J40" s="135" t="s">
        <v>21</v>
      </c>
      <c r="K40" s="135"/>
      <c r="L40" s="135"/>
      <c r="M40" s="135"/>
      <c r="N40" s="23"/>
      <c r="O40" s="20"/>
      <c r="P40" s="135" t="s">
        <v>22</v>
      </c>
      <c r="Q40" s="135"/>
      <c r="R40" s="135" t="s">
        <v>26</v>
      </c>
      <c r="S40" s="135"/>
      <c r="T40" s="135"/>
      <c r="U40" s="135"/>
      <c r="V40" s="135"/>
      <c r="W40" s="22"/>
      <c r="X40" s="135" t="s">
        <v>25</v>
      </c>
      <c r="Y40" s="135"/>
      <c r="Z40" s="135"/>
      <c r="AA40" s="135"/>
      <c r="AB40" s="135"/>
      <c r="AC40" s="135"/>
      <c r="AD40" s="126"/>
      <c r="AE40" s="126"/>
      <c r="AG40" s="90"/>
    </row>
    <row r="41" spans="1:45" ht="249.75" customHeight="1" thickTop="1">
      <c r="A41" s="27"/>
      <c r="B41" s="71" t="s">
        <v>18</v>
      </c>
      <c r="C41" s="25"/>
      <c r="D41" s="26"/>
      <c r="E41" s="25"/>
      <c r="F41" s="30"/>
      <c r="G41" s="16">
        <f>G38</f>
        <v>420</v>
      </c>
      <c r="H41" s="16">
        <f>H38</f>
        <v>244</v>
      </c>
      <c r="I41" s="16">
        <f>I38</f>
        <v>64079.1098528</v>
      </c>
      <c r="J41" s="16">
        <f t="shared" ref="J41:AE41" si="29">J38</f>
        <v>8400</v>
      </c>
      <c r="K41" s="16">
        <f t="shared" si="29"/>
        <v>11550</v>
      </c>
      <c r="L41" s="16">
        <f t="shared" si="29"/>
        <v>11611.821260799999</v>
      </c>
      <c r="M41" s="16">
        <f t="shared" si="29"/>
        <v>128358.2197056</v>
      </c>
      <c r="N41" s="16">
        <f t="shared" si="29"/>
        <v>8825</v>
      </c>
      <c r="O41" s="16">
        <f t="shared" si="29"/>
        <v>440</v>
      </c>
      <c r="P41" s="16">
        <f t="shared" si="29"/>
        <v>4655</v>
      </c>
      <c r="Q41" s="16">
        <f t="shared" si="29"/>
        <v>40821.215778599981</v>
      </c>
      <c r="R41" s="16">
        <f t="shared" si="29"/>
        <v>279404.36659780005</v>
      </c>
      <c r="S41" s="16">
        <f t="shared" si="29"/>
        <v>218633.15081920003</v>
      </c>
      <c r="T41" s="16">
        <f t="shared" si="29"/>
        <v>238583.15081920003</v>
      </c>
      <c r="U41" s="16">
        <f t="shared" si="29"/>
        <v>40821.215778599981</v>
      </c>
      <c r="V41" s="16">
        <f t="shared" si="29"/>
        <v>23948.446590111998</v>
      </c>
      <c r="W41" s="16">
        <f t="shared" si="29"/>
        <v>0</v>
      </c>
      <c r="X41" s="95">
        <f t="shared" si="29"/>
        <v>24166</v>
      </c>
      <c r="Y41" s="16">
        <f t="shared" si="29"/>
        <v>4056.3900000000003</v>
      </c>
      <c r="Z41" s="16">
        <f t="shared" si="29"/>
        <v>3577.5</v>
      </c>
      <c r="AA41" s="16">
        <f t="shared" si="29"/>
        <v>0</v>
      </c>
      <c r="AB41" s="16">
        <f t="shared" si="29"/>
        <v>1725318.4507490557</v>
      </c>
      <c r="AC41" s="95">
        <f t="shared" si="29"/>
        <v>7784.8602508176018</v>
      </c>
      <c r="AD41" s="16">
        <f t="shared" si="29"/>
        <v>104354.41261952957</v>
      </c>
      <c r="AE41" s="16">
        <f t="shared" si="29"/>
        <v>175049.95397827041</v>
      </c>
    </row>
    <row r="42" spans="1:45" ht="249.75" customHeight="1">
      <c r="A42" s="27">
        <v>29</v>
      </c>
      <c r="B42" s="93" t="s">
        <v>76</v>
      </c>
      <c r="C42" s="25"/>
      <c r="D42" s="26"/>
      <c r="E42" s="25"/>
      <c r="F42" s="33">
        <v>0.25</v>
      </c>
      <c r="G42" s="16">
        <v>15</v>
      </c>
      <c r="H42" s="16">
        <v>10</v>
      </c>
      <c r="I42" s="16">
        <v>1222.71</v>
      </c>
      <c r="J42" s="17">
        <v>300</v>
      </c>
      <c r="K42" s="15">
        <v>500</v>
      </c>
      <c r="L42" s="15">
        <v>175</v>
      </c>
      <c r="M42" s="15">
        <f>(I42*200%)</f>
        <v>2445.42</v>
      </c>
      <c r="N42" s="17">
        <v>700</v>
      </c>
      <c r="O42" s="17">
        <v>0</v>
      </c>
      <c r="P42" s="15">
        <f>(I42*F42)*(30-E42)/30</f>
        <v>305.67750000000001</v>
      </c>
      <c r="Q42" s="15">
        <f>(G42+H42+I42+L42+M42+N42+P42+O42)*18.75%</f>
        <v>913.83890625000004</v>
      </c>
      <c r="R42" s="17">
        <f>SUM(G42:Q42)</f>
        <v>6587.6464062499999</v>
      </c>
      <c r="S42" s="24">
        <f>G42+H42+I42+L42+M42+N42+O42+P42</f>
        <v>4873.8074999999999</v>
      </c>
      <c r="T42" s="15">
        <f>G42+H42+I42+J42+K42+L42+M42+N42+O42+P42</f>
        <v>5673.8074999999999</v>
      </c>
      <c r="U42" s="17">
        <f>Q42</f>
        <v>913.83890625000004</v>
      </c>
      <c r="V42" s="15">
        <f>(G42+H42+I42+L42+M42+N42+P42+O42)*11%</f>
        <v>536.11882500000002</v>
      </c>
      <c r="W42" s="24">
        <v>0</v>
      </c>
      <c r="X42" s="16">
        <v>1250</v>
      </c>
      <c r="Y42" s="17">
        <v>0</v>
      </c>
      <c r="Z42" s="16">
        <v>0</v>
      </c>
      <c r="AA42" s="15">
        <v>0</v>
      </c>
      <c r="AB42" s="16">
        <f>SUM(I42+L42+M42+N42+O42+P42)*12-(V42+Z42)*12-20000</f>
        <v>31752.2641</v>
      </c>
      <c r="AC42" s="16">
        <f>IF(AB42&lt;=40000,AB42*0%,IF(AB42&lt;=45000,AB42*10%-4000,IF(AB42&lt;=60000,AB42*15%-6250,IF(AB42&lt;=200000,AB42*20%-10250,""))))/12</f>
        <v>0</v>
      </c>
      <c r="AD42" s="24">
        <f>U42+V42+W42+X42+Y42+Z42+AA42+AC42</f>
        <v>2699.9577312500001</v>
      </c>
      <c r="AE42" s="79">
        <f>R42-AD42</f>
        <v>3887.6886749999999</v>
      </c>
    </row>
    <row r="43" spans="1:45" ht="249.95" customHeight="1">
      <c r="A43" s="27">
        <v>30</v>
      </c>
      <c r="B43" s="92" t="s">
        <v>68</v>
      </c>
      <c r="C43" s="25"/>
      <c r="D43" s="26"/>
      <c r="E43" s="25"/>
      <c r="F43" s="33">
        <v>0</v>
      </c>
      <c r="G43" s="16">
        <v>15</v>
      </c>
      <c r="H43" s="16">
        <v>10</v>
      </c>
      <c r="I43" s="16">
        <v>1254.94</v>
      </c>
      <c r="J43" s="17">
        <v>300</v>
      </c>
      <c r="K43" s="15">
        <f>500*(22-C43)/22</f>
        <v>500</v>
      </c>
      <c r="L43" s="15">
        <v>0</v>
      </c>
      <c r="M43" s="15">
        <f>(I43*200%)</f>
        <v>2509.88</v>
      </c>
      <c r="N43" s="17">
        <v>190</v>
      </c>
      <c r="O43" s="17">
        <v>0</v>
      </c>
      <c r="P43" s="16">
        <f>(I43*F43)*(30-E43)/30</f>
        <v>0</v>
      </c>
      <c r="Q43" s="15">
        <f>(G43+H43+I43+L43+M43+N43+P43+O43)*18.75%</f>
        <v>746.21625000000006</v>
      </c>
      <c r="R43" s="17">
        <f>SUM(G43:Q43)</f>
        <v>5526.0362500000001</v>
      </c>
      <c r="S43" s="24">
        <f>G43+H43+I43+L43+M43+N43+O43+P43</f>
        <v>3979.82</v>
      </c>
      <c r="T43" s="15">
        <f>G43+H43+I43+J43+K43+L43+M43+N43+O43+P43</f>
        <v>4779.82</v>
      </c>
      <c r="U43" s="17">
        <f>Q43</f>
        <v>746.21625000000006</v>
      </c>
      <c r="V43" s="15">
        <f>(G43+H43+I43+L43+M43+N43+P43+O43)*11%</f>
        <v>437.78020000000004</v>
      </c>
      <c r="W43" s="24">
        <v>0</v>
      </c>
      <c r="X43" s="16">
        <v>833</v>
      </c>
      <c r="Y43" s="17">
        <v>0</v>
      </c>
      <c r="Z43" s="16">
        <v>80</v>
      </c>
      <c r="AA43" s="15">
        <v>0</v>
      </c>
      <c r="AB43" s="16">
        <f>SUM(I43+L43+M43+N43+O43+P43)*12-(V43+Z43)*12-20000</f>
        <v>21244.477600000006</v>
      </c>
      <c r="AC43" s="16">
        <f>IF(AB43&lt;=40000,AB43*0%,IF(AB43&lt;=45000,AB43*10%-4000,IF(AB43&lt;=60000,AB43*15%-6250,IF(AB43&lt;=200000,AB43*20%-10250,""))))/12</f>
        <v>0</v>
      </c>
      <c r="AD43" s="24">
        <f>U43+V43+W43+X43+Y43+Z43+AA43+AC43</f>
        <v>2096.9964500000001</v>
      </c>
      <c r="AE43" s="79">
        <f>R43-AD43</f>
        <v>3429.0398</v>
      </c>
    </row>
    <row r="44" spans="1:45" ht="249.95" customHeight="1">
      <c r="A44" s="27">
        <v>31</v>
      </c>
      <c r="B44" s="92" t="s">
        <v>69</v>
      </c>
      <c r="C44" s="25"/>
      <c r="D44" s="26"/>
      <c r="E44" s="25"/>
      <c r="F44" s="33">
        <v>0</v>
      </c>
      <c r="G44" s="16">
        <v>15</v>
      </c>
      <c r="H44" s="16">
        <v>10</v>
      </c>
      <c r="I44" s="16">
        <v>2272.6999999999998</v>
      </c>
      <c r="J44" s="17">
        <v>300</v>
      </c>
      <c r="K44" s="15">
        <f>500*(22-C44)/22</f>
        <v>500</v>
      </c>
      <c r="L44" s="15">
        <v>0</v>
      </c>
      <c r="M44" s="15">
        <f>(I44*200%)</f>
        <v>4545.3999999999996</v>
      </c>
      <c r="N44" s="17">
        <v>0</v>
      </c>
      <c r="O44" s="17">
        <v>0</v>
      </c>
      <c r="P44" s="16">
        <f>I44*50%</f>
        <v>1136.3499999999999</v>
      </c>
      <c r="Q44" s="15">
        <f>(G44+H44+I44+L44+M44+N44+P44+O44)*18.75%</f>
        <v>1496.1468749999999</v>
      </c>
      <c r="R44" s="17">
        <f t="shared" si="16"/>
        <v>10275.596874999999</v>
      </c>
      <c r="S44" s="24">
        <f>G44+H44+I44+L44+M44+N44+O44+P44</f>
        <v>7979.4499999999989</v>
      </c>
      <c r="T44" s="15">
        <f>G44+H44+I44+J44+K44+L44+M44+N44+O44+P44</f>
        <v>8779.4499999999989</v>
      </c>
      <c r="U44" s="17">
        <f>Q44</f>
        <v>1496.1468749999999</v>
      </c>
      <c r="V44" s="15">
        <f>(G44+H44+I44+L44+M44+N44+P44+O44)*11%</f>
        <v>877.73949999999991</v>
      </c>
      <c r="W44" s="24">
        <v>0</v>
      </c>
      <c r="X44" s="16">
        <v>1000</v>
      </c>
      <c r="Y44" s="17">
        <v>0</v>
      </c>
      <c r="Z44" s="16">
        <v>135</v>
      </c>
      <c r="AA44" s="15">
        <v>0</v>
      </c>
      <c r="AB44" s="16">
        <f>SUM(I44+L44+M44+N44+O44+P44)*12-(V44+Z44)*12-20000</f>
        <v>63300.525999999998</v>
      </c>
      <c r="AC44" s="16">
        <f>IF(AB44&lt;=40000,AB44*0%,IF(AB44&lt;=45000,AB44*10%-4000,IF(AB44&lt;=60000,AB44*15%-6250,IF(AB44&lt;=200000,AB44*20%-10250,""))))/12</f>
        <v>200.84209999999999</v>
      </c>
      <c r="AD44" s="24">
        <f>U44+V44+W44+X44+Y44+Z44+AA44+AC44</f>
        <v>3709.7284749999999</v>
      </c>
      <c r="AE44" s="79">
        <f>R44-AD44</f>
        <v>6565.8683999999994</v>
      </c>
    </row>
    <row r="45" spans="1:45" ht="249.95" customHeight="1">
      <c r="A45" s="27">
        <v>32</v>
      </c>
      <c r="B45" s="92" t="s">
        <v>72</v>
      </c>
      <c r="C45" s="25"/>
      <c r="D45" s="26"/>
      <c r="E45" s="25"/>
      <c r="F45" s="33">
        <v>0</v>
      </c>
      <c r="G45" s="16">
        <v>15</v>
      </c>
      <c r="H45" s="16">
        <v>10</v>
      </c>
      <c r="I45" s="16">
        <v>1147.71</v>
      </c>
      <c r="J45" s="17">
        <v>300</v>
      </c>
      <c r="K45" s="15">
        <v>100</v>
      </c>
      <c r="L45" s="15">
        <v>0</v>
      </c>
      <c r="M45" s="15">
        <f>(I45*200%)</f>
        <v>2295.42</v>
      </c>
      <c r="N45" s="17">
        <v>0</v>
      </c>
      <c r="O45" s="17">
        <v>0</v>
      </c>
      <c r="P45" s="16">
        <v>0</v>
      </c>
      <c r="Q45" s="15">
        <f>(G45+H45+I45+L45+M45+N45+P45+O45)*18.75%</f>
        <v>650.27437499999996</v>
      </c>
      <c r="R45" s="17">
        <f>SUM(G45:Q45)</f>
        <v>4518.4043750000001</v>
      </c>
      <c r="S45" s="24">
        <f>G45+H45+I45+L45+M45+N45+O45+P45</f>
        <v>3468.13</v>
      </c>
      <c r="T45" s="15">
        <f>G45+H45+I45+J45+K45+L45+M45+N45+O45+P45</f>
        <v>3868.13</v>
      </c>
      <c r="U45" s="17">
        <f>Q45</f>
        <v>650.27437499999996</v>
      </c>
      <c r="V45" s="15">
        <f>(G45+H45+I45+L45+M45+N45+P45+O45)*11%</f>
        <v>381.49430000000001</v>
      </c>
      <c r="W45" s="24">
        <v>0</v>
      </c>
      <c r="X45" s="16">
        <v>0</v>
      </c>
      <c r="Y45" s="17">
        <v>0</v>
      </c>
      <c r="Z45" s="16">
        <v>0</v>
      </c>
      <c r="AA45" s="15">
        <v>0</v>
      </c>
      <c r="AB45" s="16">
        <f>SUM(I45+L45+M45+N45+O45+P45)*12-(V45+Z45)*12-20000</f>
        <v>16739.628400000001</v>
      </c>
      <c r="AC45" s="16">
        <f>IF(AB45&lt;=40000,AB45*0%,IF(AB45&lt;=45000,AB45*10%-4000,IF(AB45&lt;=60000,AB45*15%-6250,IF(AB45&lt;=200000,AB45*20%-10250,""))))/12</f>
        <v>0</v>
      </c>
      <c r="AD45" s="24">
        <f>U45+V45+W45+X45+Y45+Z45+AA45+AC45</f>
        <v>1031.768675</v>
      </c>
      <c r="AE45" s="79">
        <f>R45-AD45</f>
        <v>3486.6356999999998</v>
      </c>
    </row>
    <row r="46" spans="1:45" s="5" customFormat="1" ht="240" customHeight="1" thickBot="1">
      <c r="A46" s="139" t="s">
        <v>2</v>
      </c>
      <c r="B46" s="140"/>
      <c r="C46" s="81"/>
      <c r="D46" s="82"/>
      <c r="E46" s="82"/>
      <c r="F46" s="83"/>
      <c r="G46" s="83">
        <f t="shared" ref="G46:AE46" si="30">SUM(G41:G45)</f>
        <v>480</v>
      </c>
      <c r="H46" s="83">
        <f t="shared" si="30"/>
        <v>284</v>
      </c>
      <c r="I46" s="83">
        <f t="shared" si="30"/>
        <v>69977.169852799998</v>
      </c>
      <c r="J46" s="83">
        <f t="shared" si="30"/>
        <v>9600</v>
      </c>
      <c r="K46" s="83">
        <f t="shared" si="30"/>
        <v>13150</v>
      </c>
      <c r="L46" s="83">
        <f t="shared" si="30"/>
        <v>11786.821260799999</v>
      </c>
      <c r="M46" s="83">
        <f t="shared" si="30"/>
        <v>140154.3397056</v>
      </c>
      <c r="N46" s="83">
        <f t="shared" si="30"/>
        <v>9715</v>
      </c>
      <c r="O46" s="83">
        <f t="shared" si="30"/>
        <v>440</v>
      </c>
      <c r="P46" s="83">
        <f t="shared" si="30"/>
        <v>6097.0275000000001</v>
      </c>
      <c r="Q46" s="83">
        <f t="shared" si="30"/>
        <v>44627.692184849977</v>
      </c>
      <c r="R46" s="97">
        <f t="shared" si="30"/>
        <v>306312.05050405004</v>
      </c>
      <c r="S46" s="83">
        <f t="shared" si="30"/>
        <v>238934.35831920005</v>
      </c>
      <c r="T46" s="83">
        <f t="shared" si="30"/>
        <v>261684.35831920005</v>
      </c>
      <c r="U46" s="83">
        <f t="shared" si="30"/>
        <v>44627.692184849977</v>
      </c>
      <c r="V46" s="83">
        <f t="shared" si="30"/>
        <v>26181.579415111999</v>
      </c>
      <c r="W46" s="83">
        <f t="shared" si="30"/>
        <v>0</v>
      </c>
      <c r="X46" s="94">
        <f t="shared" si="30"/>
        <v>27249</v>
      </c>
      <c r="Y46" s="83">
        <f t="shared" si="30"/>
        <v>4056.3900000000003</v>
      </c>
      <c r="Z46" s="83">
        <f t="shared" si="30"/>
        <v>3792.5</v>
      </c>
      <c r="AA46" s="83">
        <f t="shared" si="30"/>
        <v>0</v>
      </c>
      <c r="AB46" s="83">
        <f t="shared" si="30"/>
        <v>1858355.346849056</v>
      </c>
      <c r="AC46" s="94">
        <f t="shared" si="30"/>
        <v>7985.7023508176017</v>
      </c>
      <c r="AD46" s="94">
        <f t="shared" si="30"/>
        <v>113892.86395077957</v>
      </c>
      <c r="AE46" s="84">
        <f t="shared" si="30"/>
        <v>192419.18655327044</v>
      </c>
      <c r="AN46" s="5">
        <f>192419+15917</f>
        <v>208336</v>
      </c>
      <c r="AS46" s="3"/>
    </row>
    <row r="47" spans="1:45" s="4" customFormat="1" ht="409.6" customHeight="1" thickTop="1">
      <c r="A47" s="18"/>
      <c r="C47" s="19"/>
      <c r="D47" s="19"/>
      <c r="E47" s="138" t="s">
        <v>1</v>
      </c>
      <c r="F47" s="138"/>
      <c r="G47" s="138"/>
      <c r="H47" s="138"/>
      <c r="I47" s="138"/>
      <c r="J47" s="19"/>
      <c r="K47" s="130" t="s">
        <v>21</v>
      </c>
      <c r="L47" s="130"/>
      <c r="M47" s="130"/>
      <c r="N47" s="130"/>
      <c r="O47" s="23"/>
      <c r="P47" s="20"/>
      <c r="Q47" s="130" t="s">
        <v>22</v>
      </c>
      <c r="R47" s="137"/>
      <c r="S47" s="86"/>
      <c r="T47" s="130" t="s">
        <v>26</v>
      </c>
      <c r="U47" s="130"/>
      <c r="V47" s="130"/>
      <c r="W47" s="130"/>
      <c r="X47" s="22"/>
      <c r="Y47" s="130" t="s">
        <v>25</v>
      </c>
      <c r="Z47" s="130"/>
      <c r="AA47" s="130"/>
      <c r="AB47" s="130"/>
      <c r="AC47" s="130"/>
      <c r="AD47" s="129" t="s">
        <v>61</v>
      </c>
      <c r="AE47" s="129"/>
      <c r="AF47" s="129"/>
      <c r="AG47" s="1"/>
      <c r="AH47" s="7"/>
      <c r="AI47" s="7"/>
      <c r="AJ47" s="20"/>
    </row>
    <row r="48" spans="1:45" ht="75" customHeight="1">
      <c r="R48" s="1"/>
      <c r="S48" s="1"/>
      <c r="AD48" s="1"/>
      <c r="AE48" s="1"/>
    </row>
    <row r="49" spans="7:33" ht="75" customHeight="1">
      <c r="G49" s="21"/>
      <c r="H49" s="21"/>
      <c r="I49" s="21"/>
      <c r="J49" s="21"/>
      <c r="K49" s="21"/>
      <c r="L49" s="21"/>
      <c r="R49" s="1"/>
      <c r="S49" s="1"/>
      <c r="AD49" s="1"/>
      <c r="AE49" s="1"/>
    </row>
    <row r="50" spans="7:33" ht="75" customHeight="1">
      <c r="G50" s="21"/>
      <c r="H50" s="21"/>
      <c r="I50" s="21"/>
      <c r="J50" s="21"/>
      <c r="K50" s="21"/>
      <c r="L50" s="21"/>
      <c r="R50" s="1"/>
      <c r="S50" s="1"/>
      <c r="V50" s="29">
        <f>U46+V46+W46+X46+Y46+Z46+AA46+AC46+AE46</f>
        <v>306312.05050404998</v>
      </c>
      <c r="X50" s="29">
        <f>U46+V46</f>
        <v>70809.271599961969</v>
      </c>
      <c r="AD50" s="1"/>
      <c r="AE50" s="1"/>
    </row>
    <row r="51" spans="7:33" ht="75" customHeight="1">
      <c r="G51" s="21"/>
      <c r="H51" s="21"/>
      <c r="I51" s="21"/>
      <c r="J51" s="21"/>
      <c r="K51" s="21"/>
      <c r="L51" s="21"/>
      <c r="R51" s="1"/>
      <c r="S51" s="85">
        <f>S46*18.75%</f>
        <v>44800.192184850006</v>
      </c>
      <c r="T51" s="85">
        <f>S46*11%</f>
        <v>26282.779415112007</v>
      </c>
      <c r="AA51" s="29">
        <f>AD46-AC51</f>
        <v>113892.86395077957</v>
      </c>
      <c r="AC51" s="91"/>
      <c r="AD51" s="1"/>
      <c r="AE51" s="1"/>
      <c r="AG51" s="29">
        <f>U46+V46+X46+Y46+Z46+AC46+W46+AA46</f>
        <v>113892.86395077957</v>
      </c>
    </row>
    <row r="52" spans="7:33" ht="75" customHeight="1">
      <c r="G52" s="21"/>
      <c r="H52" s="21"/>
      <c r="I52" s="21"/>
      <c r="J52" s="21"/>
      <c r="K52" s="21"/>
      <c r="L52" s="21"/>
      <c r="R52" s="1"/>
      <c r="S52" s="1"/>
      <c r="AD52" s="1"/>
      <c r="AE52" s="1"/>
    </row>
    <row r="53" spans="7:33" ht="75" customHeight="1">
      <c r="G53" s="21"/>
      <c r="H53" s="21"/>
      <c r="I53" s="21"/>
      <c r="J53" s="21"/>
      <c r="K53" s="21"/>
      <c r="L53" s="21"/>
      <c r="R53" s="1"/>
      <c r="S53" s="1"/>
      <c r="AD53" s="1"/>
      <c r="AE53" s="29">
        <f>R46-AG51</f>
        <v>192419.18655327047</v>
      </c>
    </row>
    <row r="54" spans="7:33" ht="75" customHeight="1">
      <c r="G54" s="21"/>
      <c r="H54" s="21"/>
      <c r="I54" s="21"/>
      <c r="J54" s="21"/>
      <c r="K54" s="21"/>
      <c r="L54" s="21"/>
      <c r="R54" s="1"/>
      <c r="S54" s="1"/>
      <c r="AD54" s="1"/>
      <c r="AE54" s="1"/>
    </row>
    <row r="55" spans="7:33" ht="75" customHeight="1">
      <c r="R55" s="1"/>
      <c r="S55" s="1"/>
      <c r="AD55" s="1"/>
      <c r="AE55" s="1"/>
    </row>
    <row r="56" spans="7:33" ht="75" customHeight="1">
      <c r="R56" s="1"/>
      <c r="S56" s="1"/>
      <c r="AD56" s="1"/>
      <c r="AE56" s="1"/>
    </row>
    <row r="57" spans="7:33" ht="75" customHeight="1">
      <c r="R57" s="1"/>
      <c r="S57" s="1"/>
      <c r="AD57" s="1"/>
      <c r="AE57" s="1"/>
    </row>
    <row r="58" spans="7:33" ht="75" customHeight="1">
      <c r="R58" s="1"/>
      <c r="S58" s="1"/>
      <c r="AD58" s="1"/>
      <c r="AE58" s="1"/>
    </row>
    <row r="59" spans="7:33" ht="75" customHeight="1">
      <c r="R59" s="1"/>
      <c r="S59" s="1"/>
      <c r="AD59" s="1"/>
      <c r="AE59" s="1"/>
    </row>
    <row r="60" spans="7:33" ht="75" customHeight="1">
      <c r="R60" s="1"/>
      <c r="S60" s="1"/>
      <c r="AD60" s="1"/>
      <c r="AE60" s="1"/>
    </row>
    <row r="61" spans="7:33" ht="75" customHeight="1">
      <c r="R61" s="1"/>
      <c r="S61" s="1"/>
      <c r="AD61" s="1"/>
      <c r="AE61" s="1"/>
    </row>
    <row r="62" spans="7:33" ht="75" customHeight="1">
      <c r="R62" s="1"/>
      <c r="S62" s="1"/>
      <c r="AD62" s="1"/>
      <c r="AE62" s="1"/>
    </row>
    <row r="63" spans="7:33" ht="75" customHeight="1">
      <c r="R63" s="1"/>
      <c r="S63" s="1"/>
      <c r="AD63" s="1"/>
      <c r="AE63" s="1"/>
    </row>
    <row r="64" spans="7:33" ht="75" customHeight="1">
      <c r="R64" s="1"/>
      <c r="S64" s="1"/>
      <c r="AD64" s="1"/>
      <c r="AE64" s="1"/>
    </row>
    <row r="65" spans="18:31" ht="75" customHeight="1">
      <c r="R65" s="1"/>
      <c r="S65" s="1"/>
      <c r="AD65" s="1"/>
      <c r="AE65" s="1"/>
    </row>
    <row r="66" spans="18:31" ht="75" customHeight="1">
      <c r="R66" s="1"/>
      <c r="S66" s="1"/>
      <c r="AD66" s="1"/>
      <c r="AE66" s="1"/>
    </row>
    <row r="67" spans="18:31" ht="75" customHeight="1">
      <c r="R67" s="1"/>
      <c r="S67" s="1"/>
      <c r="AD67" s="1"/>
      <c r="AE67" s="1"/>
    </row>
    <row r="68" spans="18:31" ht="75" customHeight="1">
      <c r="R68" s="1"/>
      <c r="S68" s="1"/>
      <c r="AD68" s="1"/>
      <c r="AE68" s="1"/>
    </row>
    <row r="69" spans="18:31" ht="75" customHeight="1">
      <c r="R69" s="1"/>
      <c r="S69" s="1"/>
      <c r="AD69" s="1"/>
      <c r="AE69" s="1"/>
    </row>
    <row r="70" spans="18:31" ht="75" customHeight="1">
      <c r="R70" s="1"/>
      <c r="S70" s="1"/>
      <c r="AD70" s="1"/>
      <c r="AE70" s="1"/>
    </row>
    <row r="71" spans="18:31" ht="75" customHeight="1">
      <c r="R71" s="1"/>
      <c r="S71" s="1"/>
      <c r="AD71" s="1"/>
      <c r="AE71" s="1"/>
    </row>
    <row r="72" spans="18:31" ht="75" customHeight="1">
      <c r="R72" s="1"/>
      <c r="S72" s="1"/>
      <c r="AD72" s="1"/>
      <c r="AE72" s="1"/>
    </row>
    <row r="73" spans="18:31" ht="75" customHeight="1">
      <c r="R73" s="1"/>
      <c r="S73" s="1"/>
      <c r="AD73" s="1"/>
      <c r="AE73" s="1"/>
    </row>
    <row r="74" spans="18:31" ht="75" customHeight="1">
      <c r="R74" s="1"/>
      <c r="S74" s="1"/>
      <c r="AD74" s="1"/>
      <c r="AE74" s="1"/>
    </row>
    <row r="75" spans="18:31" ht="75" customHeight="1">
      <c r="R75" s="1"/>
      <c r="S75" s="1"/>
      <c r="AD75" s="1"/>
      <c r="AE75" s="1"/>
    </row>
    <row r="76" spans="18:31" ht="75" customHeight="1">
      <c r="R76" s="1"/>
      <c r="S76" s="1"/>
      <c r="AD76" s="1"/>
      <c r="AE76" s="1"/>
    </row>
    <row r="77" spans="18:31" ht="75" customHeight="1">
      <c r="R77" s="1"/>
      <c r="S77" s="1"/>
      <c r="AD77" s="1"/>
      <c r="AE77" s="1"/>
    </row>
    <row r="78" spans="18:31" ht="75" customHeight="1">
      <c r="R78" s="1"/>
      <c r="S78" s="1"/>
      <c r="AD78" s="1"/>
      <c r="AE78" s="1"/>
    </row>
    <row r="79" spans="18:31" ht="75" customHeight="1">
      <c r="R79" s="1"/>
      <c r="S79" s="1"/>
      <c r="AD79" s="1"/>
      <c r="AE79" s="1"/>
    </row>
    <row r="80" spans="18:31" ht="75" customHeight="1">
      <c r="R80" s="1"/>
      <c r="S80" s="1"/>
      <c r="AD80" s="1"/>
      <c r="AE80" s="1"/>
    </row>
    <row r="81" spans="18:31" ht="75" customHeight="1">
      <c r="R81" s="1"/>
      <c r="S81" s="1"/>
      <c r="AD81" s="1"/>
      <c r="AE81" s="1"/>
    </row>
    <row r="82" spans="18:31" ht="75" customHeight="1">
      <c r="R82" s="1"/>
      <c r="S82" s="1"/>
      <c r="AD82" s="1"/>
      <c r="AE82" s="1"/>
    </row>
    <row r="83" spans="18:31" ht="75" customHeight="1">
      <c r="R83" s="1"/>
      <c r="S83" s="1"/>
      <c r="AD83" s="1"/>
      <c r="AE83" s="1"/>
    </row>
    <row r="84" spans="18:31" ht="75" customHeight="1">
      <c r="R84" s="1"/>
      <c r="S84" s="1"/>
      <c r="AD84" s="1"/>
      <c r="AE84" s="1"/>
    </row>
    <row r="85" spans="18:31" ht="75" customHeight="1">
      <c r="R85" s="1"/>
      <c r="S85" s="1"/>
      <c r="AD85" s="1"/>
      <c r="AE85" s="1"/>
    </row>
    <row r="86" spans="18:31" ht="75" customHeight="1">
      <c r="R86" s="1"/>
      <c r="S86" s="1"/>
      <c r="AD86" s="1"/>
      <c r="AE86" s="1"/>
    </row>
    <row r="87" spans="18:31" ht="75" customHeight="1">
      <c r="R87" s="1"/>
      <c r="S87" s="1"/>
      <c r="AD87" s="1"/>
      <c r="AE87" s="1"/>
    </row>
    <row r="88" spans="18:31" ht="75" customHeight="1">
      <c r="R88" s="1"/>
      <c r="S88" s="1"/>
      <c r="AD88" s="1"/>
      <c r="AE88" s="1"/>
    </row>
    <row r="89" spans="18:31" ht="75" customHeight="1">
      <c r="R89" s="1"/>
      <c r="S89" s="1"/>
      <c r="AD89" s="1"/>
      <c r="AE89" s="1"/>
    </row>
    <row r="90" spans="18:31" ht="75" customHeight="1">
      <c r="R90" s="1"/>
      <c r="S90" s="1"/>
      <c r="AD90" s="1"/>
      <c r="AE90" s="1"/>
    </row>
    <row r="91" spans="18:31" ht="75" customHeight="1">
      <c r="R91" s="1"/>
      <c r="S91" s="1"/>
      <c r="AD91" s="1"/>
      <c r="AE91" s="1"/>
    </row>
    <row r="92" spans="18:31" ht="75" customHeight="1">
      <c r="R92" s="1"/>
      <c r="S92" s="1"/>
      <c r="AD92" s="1"/>
      <c r="AE92" s="1"/>
    </row>
    <row r="93" spans="18:31" ht="75" customHeight="1">
      <c r="R93" s="1"/>
      <c r="S93" s="1"/>
      <c r="AD93" s="1"/>
      <c r="AE93" s="1"/>
    </row>
    <row r="94" spans="18:31" ht="75" customHeight="1">
      <c r="R94" s="1"/>
      <c r="S94" s="1"/>
      <c r="AD94" s="1"/>
      <c r="AE94" s="1"/>
    </row>
    <row r="95" spans="18:31" ht="75" customHeight="1">
      <c r="R95" s="1"/>
      <c r="S95" s="1"/>
      <c r="AD95" s="1"/>
      <c r="AE95" s="1"/>
    </row>
    <row r="96" spans="18:31" ht="75" customHeight="1">
      <c r="R96" s="1"/>
      <c r="S96" s="1"/>
      <c r="AD96" s="1"/>
      <c r="AE96" s="1"/>
    </row>
    <row r="97" spans="18:31" ht="75" customHeight="1">
      <c r="R97" s="1"/>
      <c r="S97" s="1"/>
      <c r="AD97" s="1"/>
      <c r="AE97" s="1"/>
    </row>
    <row r="98" spans="18:31" ht="75" customHeight="1">
      <c r="R98" s="1"/>
      <c r="S98" s="1"/>
      <c r="AD98" s="1"/>
      <c r="AE98" s="1"/>
    </row>
    <row r="99" spans="18:31" ht="75" customHeight="1">
      <c r="R99" s="1"/>
      <c r="S99" s="1"/>
      <c r="AD99" s="1"/>
      <c r="AE99" s="1"/>
    </row>
    <row r="100" spans="18:31" ht="75" customHeight="1">
      <c r="R100" s="1"/>
      <c r="S100" s="1"/>
      <c r="AD100" s="1"/>
      <c r="AE100" s="1"/>
    </row>
    <row r="101" spans="18:31" ht="75" customHeight="1">
      <c r="R101" s="1"/>
      <c r="S101" s="1"/>
      <c r="AD101" s="1"/>
      <c r="AE101" s="1"/>
    </row>
    <row r="102" spans="18:31" ht="75" customHeight="1">
      <c r="R102" s="1"/>
      <c r="S102" s="1"/>
      <c r="AD102" s="1"/>
      <c r="AE102" s="1"/>
    </row>
    <row r="103" spans="18:31" ht="75" customHeight="1">
      <c r="R103" s="1"/>
      <c r="S103" s="1"/>
      <c r="AD103" s="1"/>
      <c r="AE103" s="1"/>
    </row>
    <row r="104" spans="18:31" ht="75" customHeight="1">
      <c r="R104" s="1"/>
      <c r="S104" s="1"/>
      <c r="AD104" s="1"/>
      <c r="AE104" s="1"/>
    </row>
    <row r="105" spans="18:31" ht="75" customHeight="1">
      <c r="R105" s="1"/>
      <c r="S105" s="1"/>
      <c r="AD105" s="1"/>
      <c r="AE105" s="1"/>
    </row>
    <row r="106" spans="18:31" ht="75" customHeight="1">
      <c r="R106" s="1"/>
      <c r="S106" s="1"/>
      <c r="AD106" s="1"/>
      <c r="AE106" s="1"/>
    </row>
    <row r="107" spans="18:31" ht="75" customHeight="1">
      <c r="R107" s="1"/>
      <c r="S107" s="1"/>
      <c r="AD107" s="1"/>
      <c r="AE107" s="1"/>
    </row>
    <row r="108" spans="18:31" ht="75" customHeight="1">
      <c r="R108" s="1"/>
      <c r="S108" s="1"/>
      <c r="AD108" s="1"/>
      <c r="AE108" s="1"/>
    </row>
    <row r="109" spans="18:31" ht="75" customHeight="1">
      <c r="R109" s="1"/>
      <c r="S109" s="1"/>
      <c r="AD109" s="1"/>
      <c r="AE109" s="1"/>
    </row>
    <row r="110" spans="18:31" ht="75" customHeight="1">
      <c r="R110" s="1"/>
      <c r="S110" s="1"/>
      <c r="AD110" s="1"/>
      <c r="AE110" s="1"/>
    </row>
    <row r="111" spans="18:31" ht="75" customHeight="1">
      <c r="R111" s="1"/>
      <c r="S111" s="1"/>
      <c r="AD111" s="1"/>
      <c r="AE111" s="1"/>
    </row>
    <row r="112" spans="18:31" ht="75" customHeight="1">
      <c r="R112" s="1"/>
      <c r="S112" s="1"/>
      <c r="AD112" s="1"/>
      <c r="AE112" s="1"/>
    </row>
    <row r="113" spans="18:31" ht="75" customHeight="1">
      <c r="R113" s="1"/>
      <c r="S113" s="1"/>
      <c r="AD113" s="1"/>
      <c r="AE113" s="1"/>
    </row>
    <row r="114" spans="18:31" ht="75" customHeight="1">
      <c r="R114" s="1"/>
      <c r="S114" s="1"/>
      <c r="AD114" s="1"/>
      <c r="AE114" s="1"/>
    </row>
    <row r="115" spans="18:31" ht="75" customHeight="1">
      <c r="R115" s="1"/>
      <c r="S115" s="1"/>
      <c r="AD115" s="1"/>
      <c r="AE115" s="1"/>
    </row>
    <row r="116" spans="18:31" ht="75" customHeight="1">
      <c r="R116" s="1"/>
      <c r="S116" s="1"/>
      <c r="AD116" s="1"/>
      <c r="AE116" s="1"/>
    </row>
    <row r="117" spans="18:31" ht="75" customHeight="1">
      <c r="R117" s="1"/>
      <c r="S117" s="1"/>
      <c r="AD117" s="1"/>
      <c r="AE117" s="1"/>
    </row>
    <row r="118" spans="18:31" ht="75" customHeight="1">
      <c r="R118" s="1"/>
      <c r="S118" s="1"/>
      <c r="AD118" s="1"/>
      <c r="AE118" s="1"/>
    </row>
    <row r="119" spans="18:31" ht="75" customHeight="1">
      <c r="R119" s="1"/>
      <c r="S119" s="1"/>
      <c r="AD119" s="1"/>
      <c r="AE119" s="1"/>
    </row>
    <row r="120" spans="18:31" ht="75" customHeight="1">
      <c r="R120" s="1"/>
      <c r="S120" s="1"/>
      <c r="AD120" s="1"/>
      <c r="AE120" s="1"/>
    </row>
    <row r="121" spans="18:31" ht="75" customHeight="1">
      <c r="R121" s="1"/>
      <c r="S121" s="1"/>
      <c r="AD121" s="1"/>
      <c r="AE121" s="1"/>
    </row>
    <row r="122" spans="18:31" ht="75" customHeight="1">
      <c r="R122" s="1"/>
      <c r="S122" s="1"/>
      <c r="AD122" s="1"/>
      <c r="AE122" s="1"/>
    </row>
    <row r="123" spans="18:31" ht="75" customHeight="1">
      <c r="R123" s="1"/>
      <c r="S123" s="1"/>
      <c r="AD123" s="1"/>
      <c r="AE123" s="1"/>
    </row>
    <row r="124" spans="18:31" ht="75" customHeight="1">
      <c r="R124" s="1"/>
      <c r="S124" s="1"/>
      <c r="AD124" s="1"/>
      <c r="AE124" s="1"/>
    </row>
    <row r="125" spans="18:31" ht="75" customHeight="1">
      <c r="R125" s="1"/>
      <c r="S125" s="1"/>
      <c r="AD125" s="1"/>
      <c r="AE125" s="1"/>
    </row>
    <row r="126" spans="18:31" ht="75" customHeight="1">
      <c r="R126" s="1"/>
      <c r="S126" s="1"/>
      <c r="AD126" s="1"/>
      <c r="AE126" s="1"/>
    </row>
    <row r="127" spans="18:31" ht="75" customHeight="1">
      <c r="R127" s="1"/>
      <c r="S127" s="1"/>
      <c r="AD127" s="1"/>
      <c r="AE127" s="1"/>
    </row>
    <row r="128" spans="18:31" ht="75" customHeight="1">
      <c r="R128" s="1"/>
      <c r="S128" s="1"/>
      <c r="AD128" s="1"/>
      <c r="AE128" s="1"/>
    </row>
    <row r="129" spans="18:31" ht="75" customHeight="1">
      <c r="R129" s="1"/>
      <c r="S129" s="1"/>
      <c r="AD129" s="1"/>
      <c r="AE129" s="1"/>
    </row>
    <row r="130" spans="18:31" ht="75" customHeight="1">
      <c r="R130" s="1"/>
      <c r="S130" s="1"/>
      <c r="AD130" s="1"/>
      <c r="AE130" s="1"/>
    </row>
    <row r="131" spans="18:31" ht="75" customHeight="1">
      <c r="R131" s="1"/>
      <c r="S131" s="1"/>
      <c r="AD131" s="1"/>
      <c r="AE131" s="1"/>
    </row>
    <row r="132" spans="18:31" ht="75" customHeight="1">
      <c r="R132" s="1"/>
      <c r="S132" s="1"/>
      <c r="AD132" s="1"/>
      <c r="AE132" s="1"/>
    </row>
    <row r="133" spans="18:31" ht="75" customHeight="1">
      <c r="R133" s="1"/>
      <c r="S133" s="1"/>
      <c r="AD133" s="1"/>
      <c r="AE133" s="1"/>
    </row>
    <row r="134" spans="18:31" ht="75" customHeight="1">
      <c r="R134" s="1"/>
      <c r="S134" s="1"/>
      <c r="AD134" s="1"/>
      <c r="AE134" s="1"/>
    </row>
    <row r="135" spans="18:31" ht="75" customHeight="1">
      <c r="R135" s="1"/>
      <c r="S135" s="1"/>
      <c r="AD135" s="1"/>
      <c r="AE135" s="1"/>
    </row>
    <row r="136" spans="18:31" ht="75" customHeight="1">
      <c r="R136" s="1"/>
      <c r="S136" s="1"/>
      <c r="AD136" s="1"/>
      <c r="AE136" s="1"/>
    </row>
    <row r="137" spans="18:31" ht="75" customHeight="1">
      <c r="R137" s="1"/>
      <c r="S137" s="1"/>
      <c r="AD137" s="1"/>
      <c r="AE137" s="1"/>
    </row>
    <row r="138" spans="18:31" ht="75" customHeight="1">
      <c r="R138" s="1"/>
      <c r="S138" s="1"/>
      <c r="AD138" s="1"/>
      <c r="AE138" s="1"/>
    </row>
    <row r="139" spans="18:31" ht="75" customHeight="1">
      <c r="R139" s="1"/>
      <c r="S139" s="1"/>
      <c r="AD139" s="1"/>
      <c r="AE139" s="1"/>
    </row>
    <row r="140" spans="18:31" ht="75" customHeight="1">
      <c r="R140" s="1"/>
      <c r="S140" s="1"/>
      <c r="AD140" s="1"/>
      <c r="AE140" s="1"/>
    </row>
    <row r="141" spans="18:31" ht="75" customHeight="1">
      <c r="R141" s="1"/>
      <c r="S141" s="1"/>
      <c r="AD141" s="1"/>
      <c r="AE141" s="1"/>
    </row>
    <row r="142" spans="18:31" ht="75" customHeight="1">
      <c r="R142" s="1"/>
      <c r="S142" s="1"/>
      <c r="AD142" s="1"/>
      <c r="AE142" s="1"/>
    </row>
    <row r="143" spans="18:31" ht="75" customHeight="1">
      <c r="R143" s="1"/>
      <c r="S143" s="1"/>
      <c r="AD143" s="1"/>
      <c r="AE143" s="1"/>
    </row>
    <row r="144" spans="18:31" ht="75" customHeight="1">
      <c r="R144" s="1"/>
      <c r="S144" s="1"/>
      <c r="AD144" s="1"/>
      <c r="AE144" s="1"/>
    </row>
    <row r="145" spans="18:31" ht="75" customHeight="1">
      <c r="R145" s="1"/>
      <c r="S145" s="1"/>
      <c r="AD145" s="1"/>
      <c r="AE145" s="1"/>
    </row>
    <row r="146" spans="18:31" ht="75" customHeight="1">
      <c r="R146" s="1"/>
      <c r="S146" s="1"/>
      <c r="AD146" s="1"/>
      <c r="AE146" s="1"/>
    </row>
    <row r="147" spans="18:31" ht="75" customHeight="1">
      <c r="R147" s="1"/>
      <c r="S147" s="1"/>
      <c r="AD147" s="1"/>
      <c r="AE147" s="1"/>
    </row>
    <row r="148" spans="18:31" ht="75" customHeight="1">
      <c r="R148" s="1"/>
      <c r="S148" s="1"/>
      <c r="AD148" s="1"/>
      <c r="AE148" s="1"/>
    </row>
    <row r="149" spans="18:31" ht="75" customHeight="1">
      <c r="R149" s="1"/>
      <c r="S149" s="1"/>
      <c r="AD149" s="1"/>
      <c r="AE149" s="1"/>
    </row>
    <row r="150" spans="18:31" ht="75" customHeight="1">
      <c r="R150" s="1"/>
      <c r="S150" s="1"/>
      <c r="AD150" s="1"/>
      <c r="AE150" s="1"/>
    </row>
    <row r="151" spans="18:31" ht="75" customHeight="1">
      <c r="R151" s="1"/>
      <c r="S151" s="1"/>
      <c r="AD151" s="1"/>
      <c r="AE151" s="1"/>
    </row>
    <row r="152" spans="18:31" ht="75" customHeight="1">
      <c r="R152" s="1"/>
      <c r="S152" s="1"/>
      <c r="AD152" s="1"/>
      <c r="AE152" s="1"/>
    </row>
    <row r="153" spans="18:31" ht="75" customHeight="1">
      <c r="R153" s="1"/>
      <c r="S153" s="1"/>
      <c r="AD153" s="1"/>
      <c r="AE153" s="1"/>
    </row>
    <row r="154" spans="18:31" ht="75" customHeight="1">
      <c r="R154" s="1"/>
      <c r="S154" s="1"/>
      <c r="AD154" s="1"/>
      <c r="AE154" s="1"/>
    </row>
    <row r="155" spans="18:31" ht="75" customHeight="1">
      <c r="R155" s="1"/>
      <c r="S155" s="1"/>
      <c r="AD155" s="1"/>
      <c r="AE155" s="1"/>
    </row>
    <row r="156" spans="18:31" ht="75" customHeight="1">
      <c r="R156" s="1"/>
      <c r="S156" s="1"/>
      <c r="AD156" s="1"/>
      <c r="AE156" s="1"/>
    </row>
    <row r="157" spans="18:31" ht="75" customHeight="1">
      <c r="R157" s="1"/>
      <c r="S157" s="1"/>
      <c r="AD157" s="1"/>
      <c r="AE157" s="1"/>
    </row>
    <row r="158" spans="18:31" ht="75" customHeight="1">
      <c r="R158" s="1"/>
      <c r="S158" s="1"/>
      <c r="AD158" s="1"/>
      <c r="AE158" s="1"/>
    </row>
    <row r="159" spans="18:31" ht="75" customHeight="1">
      <c r="R159" s="1"/>
      <c r="S159" s="1"/>
      <c r="AD159" s="1"/>
      <c r="AE159" s="1"/>
    </row>
    <row r="160" spans="18:31" ht="75" customHeight="1">
      <c r="R160" s="1"/>
      <c r="S160" s="1"/>
      <c r="AD160" s="1"/>
      <c r="AE160" s="1"/>
    </row>
    <row r="161" spans="18:31" ht="75" customHeight="1">
      <c r="R161" s="1"/>
      <c r="S161" s="1"/>
      <c r="AD161" s="1"/>
      <c r="AE161" s="1"/>
    </row>
    <row r="162" spans="18:31" ht="75" customHeight="1">
      <c r="R162" s="1"/>
      <c r="S162" s="1"/>
      <c r="AD162" s="1"/>
      <c r="AE162" s="1"/>
    </row>
    <row r="163" spans="18:31" ht="75" customHeight="1">
      <c r="R163" s="1"/>
      <c r="S163" s="1"/>
      <c r="AD163" s="1"/>
      <c r="AE163" s="1"/>
    </row>
    <row r="164" spans="18:31" ht="75" customHeight="1">
      <c r="R164" s="1"/>
      <c r="S164" s="1"/>
      <c r="AD164" s="1"/>
      <c r="AE164" s="1"/>
    </row>
    <row r="165" spans="18:31" ht="75" customHeight="1">
      <c r="R165" s="1"/>
      <c r="S165" s="1"/>
      <c r="AD165" s="1"/>
      <c r="AE165" s="1"/>
    </row>
    <row r="166" spans="18:31" ht="75" customHeight="1">
      <c r="R166" s="1"/>
      <c r="S166" s="1"/>
      <c r="AD166" s="1"/>
      <c r="AE166" s="1"/>
    </row>
    <row r="167" spans="18:31" ht="75" customHeight="1">
      <c r="R167" s="1"/>
      <c r="S167" s="1"/>
      <c r="AD167" s="1"/>
      <c r="AE167" s="1"/>
    </row>
    <row r="168" spans="18:31" ht="75" customHeight="1">
      <c r="R168" s="1"/>
      <c r="S168" s="1"/>
      <c r="AD168" s="1"/>
      <c r="AE168" s="1"/>
    </row>
    <row r="169" spans="18:31" ht="75" customHeight="1">
      <c r="R169" s="1"/>
      <c r="S169" s="1"/>
      <c r="AD169" s="1"/>
      <c r="AE169" s="1"/>
    </row>
    <row r="170" spans="18:31" ht="75" customHeight="1">
      <c r="R170" s="1"/>
      <c r="S170" s="1"/>
      <c r="AD170" s="1"/>
      <c r="AE170" s="1"/>
    </row>
    <row r="171" spans="18:31" ht="75" customHeight="1">
      <c r="R171" s="1"/>
      <c r="S171" s="1"/>
      <c r="AD171" s="1"/>
      <c r="AE171" s="1"/>
    </row>
    <row r="172" spans="18:31" ht="75" customHeight="1">
      <c r="R172" s="1"/>
      <c r="S172" s="1"/>
      <c r="AD172" s="1"/>
      <c r="AE172" s="1"/>
    </row>
    <row r="173" spans="18:31" ht="75" customHeight="1">
      <c r="R173" s="1"/>
      <c r="S173" s="1"/>
      <c r="AD173" s="1"/>
      <c r="AE173" s="1"/>
    </row>
    <row r="174" spans="18:31" ht="75" customHeight="1">
      <c r="R174" s="1"/>
      <c r="S174" s="1"/>
      <c r="AD174" s="1"/>
      <c r="AE174" s="1"/>
    </row>
    <row r="175" spans="18:31" ht="75" customHeight="1">
      <c r="R175" s="1"/>
      <c r="S175" s="1"/>
      <c r="AD175" s="1"/>
      <c r="AE175" s="1"/>
    </row>
    <row r="176" spans="18:31" ht="75" customHeight="1">
      <c r="R176" s="1"/>
      <c r="S176" s="1"/>
      <c r="AD176" s="1"/>
      <c r="AE176" s="1"/>
    </row>
    <row r="177" spans="18:31" ht="75" customHeight="1">
      <c r="R177" s="1"/>
      <c r="S177" s="1"/>
      <c r="AD177" s="1"/>
      <c r="AE177" s="1"/>
    </row>
    <row r="178" spans="18:31" ht="75" customHeight="1">
      <c r="R178" s="1"/>
      <c r="S178" s="1"/>
      <c r="AD178" s="1"/>
      <c r="AE178" s="1"/>
    </row>
    <row r="179" spans="18:31" ht="75" customHeight="1">
      <c r="R179" s="1"/>
      <c r="S179" s="1"/>
      <c r="AD179" s="1"/>
      <c r="AE179" s="1"/>
    </row>
    <row r="180" spans="18:31" ht="75" customHeight="1">
      <c r="R180" s="1"/>
      <c r="S180" s="1"/>
      <c r="AD180" s="1"/>
      <c r="AE180" s="1"/>
    </row>
    <row r="181" spans="18:31" ht="75" customHeight="1">
      <c r="R181" s="1"/>
      <c r="S181" s="1"/>
      <c r="AD181" s="1"/>
      <c r="AE181" s="1"/>
    </row>
    <row r="182" spans="18:31" ht="75" customHeight="1">
      <c r="R182" s="1"/>
      <c r="S182" s="1"/>
      <c r="AD182" s="1"/>
      <c r="AE182" s="1"/>
    </row>
    <row r="183" spans="18:31" ht="75" customHeight="1">
      <c r="R183" s="1"/>
      <c r="S183" s="1"/>
      <c r="AD183" s="1"/>
      <c r="AE183" s="1"/>
    </row>
    <row r="184" spans="18:31" ht="75" customHeight="1">
      <c r="R184" s="1"/>
      <c r="S184" s="1"/>
      <c r="AD184" s="1"/>
      <c r="AE184" s="1"/>
    </row>
    <row r="185" spans="18:31" ht="75" customHeight="1">
      <c r="R185" s="1"/>
      <c r="S185" s="1"/>
      <c r="AD185" s="1"/>
      <c r="AE185" s="1"/>
    </row>
    <row r="186" spans="18:31" ht="75" customHeight="1">
      <c r="R186" s="1"/>
      <c r="S186" s="1"/>
      <c r="AD186" s="1"/>
      <c r="AE186" s="1"/>
    </row>
    <row r="187" spans="18:31" ht="75" customHeight="1">
      <c r="R187" s="1"/>
      <c r="S187" s="1"/>
      <c r="AD187" s="1"/>
      <c r="AE187" s="1"/>
    </row>
    <row r="188" spans="18:31" ht="75" customHeight="1">
      <c r="R188" s="1"/>
      <c r="S188" s="1"/>
      <c r="AD188" s="1"/>
      <c r="AE188" s="1"/>
    </row>
    <row r="189" spans="18:31" ht="75" customHeight="1">
      <c r="R189" s="1"/>
      <c r="S189" s="1"/>
      <c r="AD189" s="1"/>
      <c r="AE189" s="1"/>
    </row>
    <row r="190" spans="18:31" ht="75" customHeight="1">
      <c r="R190" s="1"/>
      <c r="S190" s="1"/>
      <c r="AD190" s="1"/>
      <c r="AE190" s="1"/>
    </row>
    <row r="191" spans="18:31" ht="75" customHeight="1">
      <c r="R191" s="1"/>
      <c r="S191" s="1"/>
      <c r="AD191" s="1"/>
      <c r="AE191" s="1"/>
    </row>
    <row r="192" spans="18:31" ht="75" customHeight="1">
      <c r="R192" s="1"/>
      <c r="S192" s="1"/>
      <c r="AD192" s="1"/>
      <c r="AE192" s="1"/>
    </row>
    <row r="193" spans="18:31" ht="75" customHeight="1">
      <c r="R193" s="1"/>
      <c r="S193" s="1"/>
      <c r="AD193" s="1"/>
      <c r="AE193" s="1"/>
    </row>
    <row r="194" spans="18:31" ht="75" customHeight="1">
      <c r="R194" s="1"/>
      <c r="S194" s="1"/>
      <c r="AD194" s="1"/>
      <c r="AE194" s="1"/>
    </row>
    <row r="195" spans="18:31" ht="75" customHeight="1">
      <c r="R195" s="1"/>
      <c r="S195" s="1"/>
      <c r="AD195" s="1"/>
      <c r="AE195" s="1"/>
    </row>
    <row r="196" spans="18:31" ht="75" customHeight="1">
      <c r="R196" s="1"/>
      <c r="S196" s="1"/>
      <c r="AD196" s="1"/>
      <c r="AE196" s="1"/>
    </row>
    <row r="197" spans="18:31" ht="75" customHeight="1">
      <c r="R197" s="1"/>
      <c r="S197" s="1"/>
      <c r="AD197" s="1"/>
      <c r="AE197" s="1"/>
    </row>
    <row r="198" spans="18:31" ht="75" customHeight="1">
      <c r="R198" s="1"/>
      <c r="S198" s="1"/>
      <c r="AD198" s="1"/>
      <c r="AE198" s="1"/>
    </row>
    <row r="199" spans="18:31" ht="75" customHeight="1">
      <c r="R199" s="1"/>
      <c r="S199" s="1"/>
      <c r="AD199" s="1"/>
      <c r="AE199" s="1"/>
    </row>
    <row r="200" spans="18:31" ht="75" customHeight="1">
      <c r="R200" s="1"/>
      <c r="S200" s="1"/>
      <c r="AD200" s="1"/>
      <c r="AE200" s="1"/>
    </row>
    <row r="201" spans="18:31" ht="75" customHeight="1">
      <c r="R201" s="1"/>
      <c r="S201" s="1"/>
      <c r="AD201" s="1"/>
      <c r="AE201" s="1"/>
    </row>
    <row r="202" spans="18:31" ht="75" customHeight="1">
      <c r="R202" s="1"/>
      <c r="S202" s="1"/>
      <c r="AD202" s="1"/>
      <c r="AE202" s="1"/>
    </row>
    <row r="203" spans="18:31" ht="75" customHeight="1">
      <c r="R203" s="1"/>
      <c r="S203" s="1"/>
      <c r="AD203" s="1"/>
      <c r="AE203" s="1"/>
    </row>
    <row r="204" spans="18:31" ht="75" customHeight="1">
      <c r="R204" s="1"/>
      <c r="S204" s="1"/>
      <c r="AD204" s="1"/>
      <c r="AE204" s="1"/>
    </row>
    <row r="205" spans="18:31" ht="75" customHeight="1">
      <c r="R205" s="1"/>
      <c r="S205" s="1"/>
      <c r="AD205" s="1"/>
      <c r="AE205" s="1"/>
    </row>
    <row r="206" spans="18:31" ht="75" customHeight="1">
      <c r="R206" s="1"/>
      <c r="S206" s="1"/>
      <c r="AD206" s="1"/>
      <c r="AE206" s="1"/>
    </row>
    <row r="207" spans="18:31" ht="75" customHeight="1">
      <c r="R207" s="1"/>
      <c r="S207" s="1"/>
      <c r="AD207" s="1"/>
      <c r="AE207" s="1"/>
    </row>
    <row r="208" spans="18:31" ht="75" customHeight="1">
      <c r="R208" s="1"/>
      <c r="S208" s="1"/>
      <c r="AD208" s="1"/>
      <c r="AE208" s="1"/>
    </row>
    <row r="209" spans="18:31" ht="75" customHeight="1">
      <c r="R209" s="1"/>
      <c r="S209" s="1"/>
      <c r="AD209" s="1"/>
      <c r="AE209" s="1"/>
    </row>
    <row r="210" spans="18:31" ht="75" customHeight="1">
      <c r="R210" s="1"/>
      <c r="S210" s="1"/>
      <c r="AD210" s="1"/>
      <c r="AE210" s="1"/>
    </row>
    <row r="211" spans="18:31" ht="75" customHeight="1">
      <c r="R211" s="1"/>
      <c r="S211" s="1"/>
      <c r="AD211" s="1"/>
      <c r="AE211" s="1"/>
    </row>
    <row r="212" spans="18:31" ht="75" customHeight="1">
      <c r="R212" s="1"/>
      <c r="S212" s="1"/>
      <c r="AD212" s="1"/>
      <c r="AE212" s="1"/>
    </row>
    <row r="213" spans="18:31" ht="75" customHeight="1">
      <c r="R213" s="1"/>
      <c r="S213" s="1"/>
      <c r="AD213" s="1"/>
      <c r="AE213" s="1"/>
    </row>
    <row r="214" spans="18:31" ht="75" customHeight="1">
      <c r="R214" s="1"/>
      <c r="S214" s="1"/>
      <c r="AD214" s="1"/>
      <c r="AE214" s="1"/>
    </row>
    <row r="215" spans="18:31" ht="75" customHeight="1">
      <c r="R215" s="1"/>
      <c r="S215" s="1"/>
      <c r="AD215" s="1"/>
      <c r="AE215" s="1"/>
    </row>
    <row r="216" spans="18:31" ht="75" customHeight="1">
      <c r="R216" s="1"/>
      <c r="S216" s="1"/>
      <c r="AD216" s="1"/>
      <c r="AE216" s="1"/>
    </row>
    <row r="217" spans="18:31" ht="75" customHeight="1">
      <c r="R217" s="1"/>
      <c r="S217" s="1"/>
      <c r="AD217" s="1"/>
      <c r="AE217" s="1"/>
    </row>
    <row r="218" spans="18:31" ht="75" customHeight="1">
      <c r="R218" s="1"/>
      <c r="S218" s="1"/>
      <c r="AD218" s="1"/>
      <c r="AE218" s="1"/>
    </row>
    <row r="219" spans="18:31" ht="75" customHeight="1">
      <c r="R219" s="1"/>
      <c r="S219" s="1"/>
      <c r="AD219" s="1"/>
      <c r="AE219" s="1"/>
    </row>
    <row r="220" spans="18:31" ht="75" customHeight="1">
      <c r="R220" s="1"/>
      <c r="S220" s="1"/>
      <c r="AD220" s="1"/>
      <c r="AE220" s="1"/>
    </row>
    <row r="221" spans="18:31" ht="75" customHeight="1">
      <c r="R221" s="1"/>
      <c r="S221" s="1"/>
      <c r="AD221" s="1"/>
      <c r="AE221" s="1"/>
    </row>
    <row r="222" spans="18:31" ht="75" customHeight="1">
      <c r="R222" s="1"/>
      <c r="S222" s="1"/>
      <c r="AD222" s="1"/>
      <c r="AE222" s="1"/>
    </row>
    <row r="223" spans="18:31" ht="75" customHeight="1">
      <c r="R223" s="1"/>
      <c r="S223" s="1"/>
      <c r="AD223" s="1"/>
      <c r="AE223" s="1"/>
    </row>
    <row r="224" spans="18:31" ht="75" customHeight="1">
      <c r="R224" s="1"/>
      <c r="S224" s="1"/>
      <c r="AD224" s="1"/>
      <c r="AE224" s="1"/>
    </row>
    <row r="225" spans="18:31" ht="75" customHeight="1">
      <c r="R225" s="1"/>
      <c r="S225" s="1"/>
      <c r="AD225" s="1"/>
      <c r="AE225" s="1"/>
    </row>
    <row r="226" spans="18:31" ht="75" customHeight="1">
      <c r="R226" s="1"/>
      <c r="S226" s="1"/>
      <c r="AD226" s="1"/>
      <c r="AE226" s="1"/>
    </row>
    <row r="227" spans="18:31" ht="75" customHeight="1">
      <c r="R227" s="1"/>
      <c r="S227" s="1"/>
      <c r="AD227" s="1"/>
      <c r="AE227" s="1"/>
    </row>
    <row r="228" spans="18:31" ht="75" customHeight="1">
      <c r="R228" s="1"/>
      <c r="S228" s="1"/>
      <c r="AD228" s="1"/>
      <c r="AE228" s="1"/>
    </row>
    <row r="229" spans="18:31" ht="75" customHeight="1">
      <c r="R229" s="1"/>
      <c r="S229" s="1"/>
      <c r="AD229" s="1"/>
      <c r="AE229" s="1"/>
    </row>
    <row r="230" spans="18:31" ht="75" customHeight="1">
      <c r="R230" s="1"/>
      <c r="S230" s="1"/>
      <c r="AD230" s="1"/>
      <c r="AE230" s="1"/>
    </row>
    <row r="231" spans="18:31" ht="75" customHeight="1">
      <c r="R231" s="1"/>
      <c r="S231" s="1"/>
      <c r="AD231" s="1"/>
      <c r="AE231" s="1"/>
    </row>
    <row r="232" spans="18:31" ht="75" customHeight="1">
      <c r="R232" s="1"/>
      <c r="S232" s="1"/>
      <c r="AD232" s="1"/>
      <c r="AE232" s="1"/>
    </row>
    <row r="233" spans="18:31" ht="75" customHeight="1">
      <c r="R233" s="1"/>
      <c r="S233" s="1"/>
      <c r="AD233" s="1"/>
      <c r="AE233" s="1"/>
    </row>
    <row r="234" spans="18:31" ht="75" customHeight="1">
      <c r="R234" s="1"/>
      <c r="S234" s="1"/>
      <c r="AD234" s="1"/>
      <c r="AE234" s="1"/>
    </row>
    <row r="235" spans="18:31" ht="75" customHeight="1">
      <c r="R235" s="1"/>
      <c r="S235" s="1"/>
      <c r="AD235" s="1"/>
      <c r="AE235" s="1"/>
    </row>
    <row r="236" spans="18:31" ht="75" customHeight="1">
      <c r="R236" s="1"/>
      <c r="S236" s="1"/>
      <c r="AD236" s="1"/>
      <c r="AE236" s="1"/>
    </row>
    <row r="237" spans="18:31" ht="75" customHeight="1">
      <c r="R237" s="1"/>
      <c r="S237" s="1"/>
      <c r="AD237" s="1"/>
      <c r="AE237" s="1"/>
    </row>
    <row r="238" spans="18:31" ht="75" customHeight="1">
      <c r="R238" s="1"/>
      <c r="S238" s="1"/>
      <c r="AD238" s="1"/>
      <c r="AE238" s="1"/>
    </row>
    <row r="239" spans="18:31" ht="75" customHeight="1">
      <c r="R239" s="1"/>
      <c r="S239" s="1"/>
      <c r="AD239" s="1"/>
      <c r="AE239" s="1"/>
    </row>
    <row r="240" spans="18:31" ht="75" customHeight="1">
      <c r="R240" s="1"/>
      <c r="S240" s="1"/>
      <c r="AD240" s="1"/>
      <c r="AE240" s="1"/>
    </row>
    <row r="241" spans="18:31" ht="75" customHeight="1">
      <c r="R241" s="1"/>
      <c r="S241" s="1"/>
      <c r="AD241" s="1"/>
      <c r="AE241" s="1"/>
    </row>
    <row r="242" spans="18:31" ht="75" customHeight="1">
      <c r="R242" s="1"/>
      <c r="S242" s="1"/>
      <c r="AD242" s="1"/>
      <c r="AE242" s="1"/>
    </row>
    <row r="243" spans="18:31" ht="75" customHeight="1">
      <c r="R243" s="1"/>
      <c r="S243" s="1"/>
      <c r="AD243" s="1"/>
      <c r="AE243" s="1"/>
    </row>
    <row r="244" spans="18:31" ht="75" customHeight="1">
      <c r="R244" s="1"/>
      <c r="S244" s="1"/>
      <c r="AD244" s="1"/>
      <c r="AE244" s="1"/>
    </row>
    <row r="245" spans="18:31" ht="75" customHeight="1">
      <c r="R245" s="1"/>
      <c r="S245" s="1"/>
      <c r="AD245" s="1"/>
      <c r="AE245" s="1"/>
    </row>
    <row r="246" spans="18:31" ht="75" customHeight="1">
      <c r="R246" s="1"/>
      <c r="S246" s="1"/>
      <c r="AD246" s="1"/>
      <c r="AE246" s="1"/>
    </row>
    <row r="247" spans="18:31" ht="75" customHeight="1">
      <c r="R247" s="1"/>
      <c r="S247" s="1"/>
      <c r="AD247" s="1"/>
      <c r="AE247" s="1"/>
    </row>
    <row r="248" spans="18:31" ht="75" customHeight="1">
      <c r="R248" s="1"/>
      <c r="S248" s="1"/>
      <c r="AD248" s="1"/>
      <c r="AE248" s="1"/>
    </row>
    <row r="249" spans="18:31" ht="75" customHeight="1">
      <c r="R249" s="1"/>
      <c r="S249" s="1"/>
      <c r="AD249" s="1"/>
      <c r="AE249" s="1"/>
    </row>
    <row r="250" spans="18:31" ht="75" customHeight="1">
      <c r="R250" s="1"/>
      <c r="S250" s="1"/>
      <c r="AD250" s="1"/>
      <c r="AE250" s="1"/>
    </row>
    <row r="251" spans="18:31" ht="75" customHeight="1">
      <c r="R251" s="1"/>
      <c r="S251" s="1"/>
      <c r="AD251" s="1"/>
      <c r="AE251" s="1"/>
    </row>
    <row r="252" spans="18:31" ht="75" customHeight="1">
      <c r="R252" s="1"/>
      <c r="S252" s="1"/>
      <c r="AD252" s="1"/>
      <c r="AE252" s="1"/>
    </row>
    <row r="253" spans="18:31" ht="75" customHeight="1">
      <c r="R253" s="1"/>
      <c r="S253" s="1"/>
      <c r="AD253" s="1"/>
      <c r="AE253" s="1"/>
    </row>
    <row r="254" spans="18:31" ht="75" customHeight="1">
      <c r="R254" s="1"/>
      <c r="S254" s="1"/>
      <c r="AD254" s="1"/>
      <c r="AE254" s="1"/>
    </row>
    <row r="255" spans="18:31" ht="75" customHeight="1">
      <c r="R255" s="1"/>
      <c r="S255" s="1"/>
      <c r="AD255" s="1"/>
      <c r="AE255" s="1"/>
    </row>
    <row r="256" spans="18:31" ht="75" customHeight="1">
      <c r="R256" s="1"/>
      <c r="S256" s="1"/>
      <c r="AD256" s="1"/>
      <c r="AE256" s="1"/>
    </row>
    <row r="257" spans="18:31" ht="75" customHeight="1">
      <c r="R257" s="1"/>
      <c r="S257" s="1"/>
      <c r="AD257" s="1"/>
      <c r="AE257" s="1"/>
    </row>
    <row r="258" spans="18:31" ht="75" customHeight="1">
      <c r="R258" s="1"/>
      <c r="S258" s="1"/>
      <c r="AD258" s="1"/>
      <c r="AE258" s="1"/>
    </row>
    <row r="259" spans="18:31" ht="75" customHeight="1">
      <c r="R259" s="1"/>
      <c r="S259" s="1"/>
      <c r="AD259" s="1"/>
      <c r="AE259" s="1"/>
    </row>
    <row r="260" spans="18:31" ht="75" customHeight="1">
      <c r="R260" s="1"/>
      <c r="S260" s="1"/>
      <c r="AD260" s="1"/>
      <c r="AE260" s="1"/>
    </row>
    <row r="261" spans="18:31" ht="75" customHeight="1">
      <c r="R261" s="1"/>
      <c r="S261" s="1"/>
      <c r="AD261" s="1"/>
      <c r="AE261" s="1"/>
    </row>
    <row r="262" spans="18:31" ht="75" customHeight="1">
      <c r="R262" s="1"/>
      <c r="S262" s="1"/>
      <c r="AD262" s="1"/>
      <c r="AE262" s="1"/>
    </row>
    <row r="263" spans="18:31" ht="75" customHeight="1">
      <c r="R263" s="1"/>
      <c r="S263" s="1"/>
      <c r="AD263" s="1"/>
      <c r="AE263" s="1"/>
    </row>
    <row r="264" spans="18:31" ht="75" customHeight="1">
      <c r="R264" s="1"/>
      <c r="S264" s="1"/>
      <c r="AD264" s="1"/>
      <c r="AE264" s="1"/>
    </row>
    <row r="265" spans="18:31" ht="75" customHeight="1">
      <c r="R265" s="1"/>
      <c r="S265" s="1"/>
      <c r="AD265" s="1"/>
      <c r="AE265" s="1"/>
    </row>
    <row r="266" spans="18:31" ht="75" customHeight="1">
      <c r="R266" s="1"/>
      <c r="S266" s="1"/>
      <c r="AD266" s="1"/>
      <c r="AE266" s="1"/>
    </row>
    <row r="267" spans="18:31" ht="75" customHeight="1">
      <c r="R267" s="1"/>
      <c r="S267" s="1"/>
      <c r="AD267" s="1"/>
      <c r="AE267" s="1"/>
    </row>
    <row r="268" spans="18:31" ht="75" customHeight="1">
      <c r="R268" s="1"/>
      <c r="S268" s="1"/>
      <c r="AD268" s="1"/>
      <c r="AE268" s="1"/>
    </row>
    <row r="269" spans="18:31" ht="75" customHeight="1">
      <c r="R269" s="1"/>
      <c r="S269" s="1"/>
      <c r="AD269" s="1"/>
      <c r="AE269" s="1"/>
    </row>
    <row r="270" spans="18:31" ht="75" customHeight="1">
      <c r="R270" s="1"/>
      <c r="S270" s="1"/>
      <c r="AD270" s="1"/>
      <c r="AE270" s="1"/>
    </row>
    <row r="271" spans="18:31" ht="75" customHeight="1">
      <c r="R271" s="1"/>
      <c r="S271" s="1"/>
      <c r="AD271" s="1"/>
      <c r="AE271" s="1"/>
    </row>
    <row r="272" spans="18:31" ht="75" customHeight="1">
      <c r="R272" s="1"/>
      <c r="S272" s="1"/>
      <c r="AD272" s="1"/>
      <c r="AE272" s="1"/>
    </row>
    <row r="273" spans="18:31" ht="75" customHeight="1">
      <c r="R273" s="1"/>
      <c r="S273" s="1"/>
      <c r="AD273" s="1"/>
      <c r="AE273" s="1"/>
    </row>
    <row r="274" spans="18:31" ht="75" customHeight="1">
      <c r="R274" s="1"/>
      <c r="S274" s="1"/>
      <c r="AD274" s="1"/>
      <c r="AE274" s="1"/>
    </row>
    <row r="275" spans="18:31" ht="75" customHeight="1">
      <c r="R275" s="1"/>
      <c r="S275" s="1"/>
      <c r="AD275" s="1"/>
      <c r="AE275" s="1"/>
    </row>
    <row r="276" spans="18:31" ht="75" customHeight="1">
      <c r="R276" s="1"/>
      <c r="S276" s="1"/>
      <c r="AD276" s="1"/>
      <c r="AE276" s="1"/>
    </row>
    <row r="277" spans="18:31" ht="75" customHeight="1">
      <c r="R277" s="1"/>
      <c r="S277" s="1"/>
      <c r="AD277" s="1"/>
      <c r="AE277" s="1"/>
    </row>
    <row r="278" spans="18:31" ht="75" customHeight="1">
      <c r="R278" s="1"/>
      <c r="S278" s="1"/>
      <c r="AD278" s="1"/>
      <c r="AE278" s="1"/>
    </row>
    <row r="279" spans="18:31" ht="75" customHeight="1">
      <c r="R279" s="1"/>
      <c r="S279" s="1"/>
      <c r="AD279" s="1"/>
      <c r="AE279" s="1"/>
    </row>
    <row r="280" spans="18:31" ht="75" customHeight="1">
      <c r="R280" s="1"/>
      <c r="S280" s="1"/>
      <c r="AD280" s="1"/>
      <c r="AE280" s="1"/>
    </row>
    <row r="281" spans="18:31" ht="75" customHeight="1">
      <c r="R281" s="1"/>
      <c r="S281" s="1"/>
      <c r="AD281" s="1"/>
      <c r="AE281" s="1"/>
    </row>
    <row r="282" spans="18:31" ht="75" customHeight="1">
      <c r="R282" s="1"/>
      <c r="S282" s="1"/>
      <c r="AD282" s="1"/>
      <c r="AE282" s="1"/>
    </row>
    <row r="283" spans="18:31" ht="75" customHeight="1">
      <c r="R283" s="1"/>
      <c r="S283" s="1"/>
      <c r="AD283" s="1"/>
      <c r="AE283" s="1"/>
    </row>
    <row r="284" spans="18:31" ht="75" customHeight="1">
      <c r="R284" s="1"/>
      <c r="S284" s="1"/>
      <c r="AD284" s="1"/>
      <c r="AE284" s="1"/>
    </row>
    <row r="285" spans="18:31" ht="75" customHeight="1">
      <c r="R285" s="1"/>
      <c r="S285" s="1"/>
      <c r="AD285" s="1"/>
      <c r="AE285" s="1"/>
    </row>
    <row r="286" spans="18:31" ht="75" customHeight="1">
      <c r="R286" s="1"/>
      <c r="S286" s="1"/>
      <c r="AD286" s="1"/>
      <c r="AE286" s="1"/>
    </row>
    <row r="287" spans="18:31" ht="75" customHeight="1">
      <c r="R287" s="1"/>
      <c r="S287" s="1"/>
      <c r="AD287" s="1"/>
      <c r="AE287" s="1"/>
    </row>
    <row r="288" spans="18:31" ht="75" customHeight="1">
      <c r="R288" s="1"/>
      <c r="S288" s="1"/>
      <c r="AD288" s="1"/>
      <c r="AE288" s="1"/>
    </row>
    <row r="289" spans="18:31" ht="75" customHeight="1">
      <c r="R289" s="1"/>
      <c r="S289" s="1"/>
      <c r="AD289" s="1"/>
      <c r="AE289" s="1"/>
    </row>
    <row r="290" spans="18:31" ht="75" customHeight="1">
      <c r="R290" s="1"/>
      <c r="S290" s="1"/>
      <c r="AD290" s="1"/>
      <c r="AE290" s="1"/>
    </row>
    <row r="291" spans="18:31" ht="75" customHeight="1">
      <c r="R291" s="1"/>
      <c r="S291" s="1"/>
      <c r="AD291" s="1"/>
      <c r="AE291" s="1"/>
    </row>
    <row r="292" spans="18:31" ht="75" customHeight="1">
      <c r="R292" s="1"/>
      <c r="S292" s="1"/>
      <c r="AD292" s="1"/>
      <c r="AE292" s="1"/>
    </row>
    <row r="293" spans="18:31" ht="75" customHeight="1">
      <c r="R293" s="1"/>
      <c r="S293" s="1"/>
      <c r="AD293" s="1"/>
      <c r="AE293" s="1"/>
    </row>
    <row r="294" spans="18:31" ht="75" customHeight="1">
      <c r="R294" s="1"/>
      <c r="S294" s="1"/>
      <c r="AD294" s="1"/>
      <c r="AE294" s="1"/>
    </row>
    <row r="295" spans="18:31" ht="75" customHeight="1">
      <c r="R295" s="1"/>
      <c r="S295" s="1"/>
      <c r="AD295" s="1"/>
      <c r="AE295" s="1"/>
    </row>
    <row r="296" spans="18:31" ht="75" customHeight="1">
      <c r="R296" s="1"/>
      <c r="S296" s="1"/>
      <c r="AD296" s="1"/>
      <c r="AE296" s="1"/>
    </row>
    <row r="297" spans="18:31" ht="75" customHeight="1">
      <c r="R297" s="1"/>
      <c r="S297" s="1"/>
      <c r="AD297" s="1"/>
      <c r="AE297" s="1"/>
    </row>
    <row r="298" spans="18:31" ht="75" customHeight="1">
      <c r="R298" s="1"/>
      <c r="S298" s="1"/>
      <c r="AD298" s="1"/>
      <c r="AE298" s="1"/>
    </row>
    <row r="299" spans="18:31" ht="75" customHeight="1">
      <c r="R299" s="1"/>
      <c r="S299" s="1"/>
      <c r="AD299" s="1"/>
      <c r="AE299" s="1"/>
    </row>
    <row r="300" spans="18:31" ht="75" customHeight="1">
      <c r="R300" s="1"/>
      <c r="S300" s="1"/>
      <c r="AD300" s="1"/>
      <c r="AE300" s="1"/>
    </row>
    <row r="301" spans="18:31" ht="75" customHeight="1">
      <c r="R301" s="1"/>
      <c r="S301" s="1"/>
      <c r="AD301" s="1"/>
      <c r="AE301" s="1"/>
    </row>
    <row r="302" spans="18:31" ht="75" customHeight="1">
      <c r="R302" s="1"/>
      <c r="S302" s="1"/>
      <c r="AD302" s="1"/>
      <c r="AE302" s="1"/>
    </row>
    <row r="303" spans="18:31" ht="75" customHeight="1">
      <c r="R303" s="1"/>
      <c r="S303" s="1"/>
      <c r="AD303" s="1"/>
      <c r="AE303" s="1"/>
    </row>
    <row r="304" spans="18:31" ht="75" customHeight="1">
      <c r="R304" s="1"/>
      <c r="S304" s="1"/>
      <c r="AD304" s="1"/>
      <c r="AE304" s="1"/>
    </row>
    <row r="305" spans="18:31" ht="75" customHeight="1">
      <c r="R305" s="1"/>
      <c r="S305" s="1"/>
      <c r="AD305" s="1"/>
      <c r="AE305" s="1"/>
    </row>
    <row r="306" spans="18:31" ht="75" customHeight="1">
      <c r="R306" s="1"/>
      <c r="S306" s="1"/>
      <c r="AD306" s="1"/>
      <c r="AE306" s="1"/>
    </row>
    <row r="307" spans="18:31" ht="75" customHeight="1">
      <c r="R307" s="1"/>
      <c r="S307" s="1"/>
      <c r="AD307" s="1"/>
      <c r="AE307" s="1"/>
    </row>
    <row r="308" spans="18:31" ht="75" customHeight="1">
      <c r="R308" s="1"/>
      <c r="S308" s="1"/>
      <c r="AD308" s="1"/>
      <c r="AE308" s="1"/>
    </row>
    <row r="309" spans="18:31" ht="75" customHeight="1">
      <c r="R309" s="1"/>
      <c r="S309" s="1"/>
      <c r="AD309" s="1"/>
      <c r="AE309" s="1"/>
    </row>
    <row r="310" spans="18:31" ht="75" customHeight="1">
      <c r="R310" s="1"/>
      <c r="S310" s="1"/>
      <c r="AD310" s="1"/>
      <c r="AE310" s="1"/>
    </row>
    <row r="311" spans="18:31" ht="75" customHeight="1">
      <c r="R311" s="1"/>
      <c r="S311" s="1"/>
      <c r="AD311" s="1"/>
      <c r="AE311" s="1"/>
    </row>
    <row r="312" spans="18:31" ht="75" customHeight="1">
      <c r="R312" s="1"/>
      <c r="S312" s="1"/>
      <c r="AD312" s="1"/>
      <c r="AE312" s="1"/>
    </row>
    <row r="313" spans="18:31" ht="75" customHeight="1">
      <c r="R313" s="1"/>
      <c r="S313" s="1"/>
      <c r="AD313" s="1"/>
      <c r="AE313" s="1"/>
    </row>
    <row r="314" spans="18:31" ht="75" customHeight="1">
      <c r="R314" s="1"/>
      <c r="S314" s="1"/>
      <c r="AD314" s="1"/>
      <c r="AE314" s="1"/>
    </row>
    <row r="315" spans="18:31" ht="75" customHeight="1">
      <c r="R315" s="1"/>
      <c r="S315" s="1"/>
      <c r="AD315" s="1"/>
      <c r="AE315" s="1"/>
    </row>
    <row r="316" spans="18:31" ht="75" customHeight="1">
      <c r="R316" s="1"/>
      <c r="S316" s="1"/>
      <c r="AD316" s="1"/>
      <c r="AE316" s="1"/>
    </row>
    <row r="317" spans="18:31" ht="75" customHeight="1">
      <c r="R317" s="1"/>
      <c r="S317" s="1"/>
      <c r="AD317" s="1"/>
      <c r="AE317" s="1"/>
    </row>
    <row r="318" spans="18:31" ht="75" customHeight="1">
      <c r="R318" s="1"/>
      <c r="S318" s="1"/>
      <c r="AD318" s="1"/>
      <c r="AE318" s="1"/>
    </row>
    <row r="319" spans="18:31" ht="75" customHeight="1">
      <c r="R319" s="1"/>
      <c r="S319" s="1"/>
      <c r="AD319" s="1"/>
      <c r="AE319" s="1"/>
    </row>
    <row r="320" spans="18:31" ht="75" customHeight="1">
      <c r="R320" s="1"/>
      <c r="S320" s="1"/>
      <c r="AD320" s="1"/>
      <c r="AE320" s="1"/>
    </row>
    <row r="321" spans="18:31" ht="75" customHeight="1">
      <c r="R321" s="1"/>
      <c r="S321" s="1"/>
      <c r="AD321" s="1"/>
      <c r="AE321" s="1"/>
    </row>
    <row r="322" spans="18:31" ht="75" customHeight="1">
      <c r="R322" s="1"/>
      <c r="S322" s="1"/>
      <c r="AD322" s="1"/>
      <c r="AE322" s="1"/>
    </row>
    <row r="323" spans="18:31" ht="75" customHeight="1">
      <c r="R323" s="1"/>
      <c r="S323" s="1"/>
      <c r="AD323" s="1"/>
      <c r="AE323" s="1"/>
    </row>
    <row r="324" spans="18:31" ht="75" customHeight="1">
      <c r="R324" s="1"/>
      <c r="S324" s="1"/>
      <c r="AD324" s="1"/>
      <c r="AE324" s="1"/>
    </row>
    <row r="325" spans="18:31" ht="75" customHeight="1">
      <c r="R325" s="1"/>
      <c r="S325" s="1"/>
      <c r="AD325" s="1"/>
      <c r="AE325" s="1"/>
    </row>
    <row r="326" spans="18:31" ht="75" customHeight="1">
      <c r="R326" s="1"/>
      <c r="S326" s="1"/>
      <c r="AD326" s="1"/>
      <c r="AE326" s="1"/>
    </row>
    <row r="327" spans="18:31" ht="75" customHeight="1">
      <c r="R327" s="1"/>
      <c r="S327" s="1"/>
      <c r="AD327" s="1"/>
      <c r="AE327" s="1"/>
    </row>
    <row r="328" spans="18:31" ht="75" customHeight="1">
      <c r="R328" s="1"/>
      <c r="S328" s="1"/>
      <c r="AD328" s="1"/>
      <c r="AE328" s="1"/>
    </row>
    <row r="329" spans="18:31" ht="75" customHeight="1">
      <c r="R329" s="1"/>
      <c r="S329" s="1"/>
      <c r="AD329" s="1"/>
      <c r="AE329" s="1"/>
    </row>
    <row r="330" spans="18:31" ht="75" customHeight="1">
      <c r="R330" s="1"/>
      <c r="S330" s="1"/>
      <c r="AD330" s="1"/>
      <c r="AE330" s="1"/>
    </row>
    <row r="331" spans="18:31" ht="75" customHeight="1">
      <c r="R331" s="1"/>
      <c r="S331" s="1"/>
      <c r="AD331" s="1"/>
      <c r="AE331" s="1"/>
    </row>
    <row r="332" spans="18:31" ht="75" customHeight="1">
      <c r="R332" s="1"/>
      <c r="S332" s="1"/>
      <c r="AD332" s="1"/>
      <c r="AE332" s="1"/>
    </row>
    <row r="333" spans="18:31" ht="75" customHeight="1">
      <c r="R333" s="1"/>
      <c r="S333" s="1"/>
      <c r="AD333" s="1"/>
      <c r="AE333" s="1"/>
    </row>
    <row r="334" spans="18:31" ht="75" customHeight="1">
      <c r="R334" s="1"/>
      <c r="S334" s="1"/>
      <c r="AD334" s="1"/>
      <c r="AE334" s="1"/>
    </row>
    <row r="335" spans="18:31" ht="75" customHeight="1">
      <c r="R335" s="1"/>
      <c r="S335" s="1"/>
      <c r="AD335" s="1"/>
      <c r="AE335" s="1"/>
    </row>
    <row r="336" spans="18:31" ht="75" customHeight="1">
      <c r="R336" s="1"/>
      <c r="S336" s="1"/>
      <c r="AD336" s="1"/>
      <c r="AE336" s="1"/>
    </row>
    <row r="337" spans="18:31" ht="75" customHeight="1">
      <c r="R337" s="1"/>
      <c r="S337" s="1"/>
      <c r="AD337" s="1"/>
      <c r="AE337" s="1"/>
    </row>
    <row r="338" spans="18:31" ht="75" customHeight="1">
      <c r="R338" s="1"/>
      <c r="S338" s="1"/>
      <c r="AD338" s="1"/>
      <c r="AE338" s="1"/>
    </row>
    <row r="339" spans="18:31" ht="75" customHeight="1">
      <c r="R339" s="1"/>
      <c r="S339" s="1"/>
      <c r="AD339" s="1"/>
      <c r="AE339" s="1"/>
    </row>
    <row r="340" spans="18:31" ht="75" customHeight="1">
      <c r="R340" s="1"/>
      <c r="S340" s="1"/>
      <c r="AD340" s="1"/>
      <c r="AE340" s="1"/>
    </row>
    <row r="341" spans="18:31" ht="75" customHeight="1">
      <c r="R341" s="1"/>
      <c r="S341" s="1"/>
      <c r="AD341" s="1"/>
      <c r="AE341" s="1"/>
    </row>
    <row r="342" spans="18:31" ht="75" customHeight="1">
      <c r="R342" s="1"/>
      <c r="S342" s="1"/>
      <c r="AD342" s="1"/>
      <c r="AE342" s="1"/>
    </row>
    <row r="343" spans="18:31" ht="75" customHeight="1">
      <c r="R343" s="1"/>
      <c r="S343" s="1"/>
      <c r="AD343" s="1"/>
      <c r="AE343" s="1"/>
    </row>
    <row r="344" spans="18:31" ht="75" customHeight="1">
      <c r="R344" s="1"/>
      <c r="S344" s="1"/>
      <c r="AD344" s="1"/>
      <c r="AE344" s="1"/>
    </row>
    <row r="345" spans="18:31" ht="75" customHeight="1">
      <c r="R345" s="1"/>
      <c r="S345" s="1"/>
      <c r="AD345" s="1"/>
      <c r="AE345" s="1"/>
    </row>
    <row r="346" spans="18:31" ht="75" customHeight="1">
      <c r="R346" s="1"/>
      <c r="S346" s="1"/>
      <c r="AD346" s="1"/>
      <c r="AE346" s="1"/>
    </row>
    <row r="347" spans="18:31" ht="75" customHeight="1">
      <c r="R347" s="1"/>
      <c r="S347" s="1"/>
      <c r="AD347" s="1"/>
      <c r="AE347" s="1"/>
    </row>
    <row r="348" spans="18:31" ht="75" customHeight="1">
      <c r="R348" s="1"/>
      <c r="S348" s="1"/>
      <c r="AD348" s="1"/>
      <c r="AE348" s="1"/>
    </row>
    <row r="349" spans="18:31" ht="75" customHeight="1">
      <c r="R349" s="1"/>
      <c r="S349" s="1"/>
      <c r="AD349" s="1"/>
      <c r="AE349" s="1"/>
    </row>
    <row r="350" spans="18:31" ht="75" customHeight="1">
      <c r="R350" s="1"/>
      <c r="S350" s="1"/>
      <c r="AD350" s="1"/>
      <c r="AE350" s="1"/>
    </row>
    <row r="351" spans="18:31" ht="75" customHeight="1">
      <c r="R351" s="1"/>
      <c r="S351" s="1"/>
      <c r="AD351" s="1"/>
      <c r="AE351" s="1"/>
    </row>
    <row r="352" spans="18:31" ht="75" customHeight="1">
      <c r="R352" s="1"/>
      <c r="S352" s="1"/>
      <c r="AD352" s="1"/>
      <c r="AE352" s="1"/>
    </row>
    <row r="353" spans="18:31" ht="75" customHeight="1">
      <c r="R353" s="1"/>
      <c r="S353" s="1"/>
      <c r="AD353" s="1"/>
      <c r="AE353" s="1"/>
    </row>
    <row r="354" spans="18:31" ht="75" customHeight="1">
      <c r="R354" s="1"/>
      <c r="S354" s="1"/>
      <c r="AD354" s="1"/>
      <c r="AE354" s="1"/>
    </row>
    <row r="355" spans="18:31" ht="75" customHeight="1">
      <c r="R355" s="1"/>
      <c r="S355" s="1"/>
      <c r="AD355" s="1"/>
      <c r="AE355" s="1"/>
    </row>
    <row r="356" spans="18:31" ht="75" customHeight="1">
      <c r="R356" s="1"/>
      <c r="S356" s="1"/>
      <c r="AD356" s="1"/>
      <c r="AE356" s="1"/>
    </row>
    <row r="357" spans="18:31" ht="75" customHeight="1">
      <c r="R357" s="1"/>
      <c r="S357" s="1"/>
      <c r="AD357" s="1"/>
      <c r="AE357" s="1"/>
    </row>
    <row r="358" spans="18:31" ht="75" customHeight="1">
      <c r="R358" s="1"/>
      <c r="S358" s="1"/>
      <c r="AD358" s="1"/>
      <c r="AE358" s="1"/>
    </row>
    <row r="359" spans="18:31" ht="75" customHeight="1">
      <c r="R359" s="1"/>
      <c r="S359" s="1"/>
      <c r="AD359" s="1"/>
      <c r="AE359" s="1"/>
    </row>
    <row r="360" spans="18:31" ht="75" customHeight="1">
      <c r="R360" s="1"/>
      <c r="S360" s="1"/>
      <c r="AD360" s="1"/>
      <c r="AE360" s="1"/>
    </row>
    <row r="361" spans="18:31" ht="75" customHeight="1">
      <c r="R361" s="1"/>
      <c r="S361" s="1"/>
      <c r="AD361" s="1"/>
      <c r="AE361" s="1"/>
    </row>
    <row r="362" spans="18:31" ht="75" customHeight="1">
      <c r="R362" s="1"/>
      <c r="S362" s="1"/>
      <c r="AD362" s="1"/>
      <c r="AE362" s="1"/>
    </row>
    <row r="363" spans="18:31" ht="75" customHeight="1">
      <c r="R363" s="1"/>
      <c r="S363" s="1"/>
      <c r="AD363" s="1"/>
      <c r="AE363" s="1"/>
    </row>
    <row r="364" spans="18:31" ht="75" customHeight="1">
      <c r="R364" s="1"/>
      <c r="S364" s="1"/>
      <c r="AD364" s="1"/>
      <c r="AE364" s="1"/>
    </row>
    <row r="365" spans="18:31" ht="75" customHeight="1">
      <c r="R365" s="1"/>
      <c r="S365" s="1"/>
      <c r="AD365" s="1"/>
      <c r="AE365" s="1"/>
    </row>
    <row r="366" spans="18:31" ht="75" customHeight="1">
      <c r="R366" s="1"/>
      <c r="S366" s="1"/>
      <c r="AD366" s="1"/>
      <c r="AE366" s="1"/>
    </row>
    <row r="367" spans="18:31" ht="75" customHeight="1">
      <c r="R367" s="1"/>
      <c r="S367" s="1"/>
      <c r="AD367" s="1"/>
      <c r="AE367" s="1"/>
    </row>
    <row r="368" spans="18:31" ht="75" customHeight="1">
      <c r="R368" s="1"/>
      <c r="S368" s="1"/>
      <c r="AD368" s="1"/>
      <c r="AE368" s="1"/>
    </row>
    <row r="369" spans="18:31" ht="75" customHeight="1">
      <c r="R369" s="1"/>
      <c r="S369" s="1"/>
      <c r="AD369" s="1"/>
      <c r="AE369" s="1"/>
    </row>
    <row r="370" spans="18:31" ht="75" customHeight="1">
      <c r="R370" s="1"/>
      <c r="S370" s="1"/>
      <c r="AD370" s="1"/>
      <c r="AE370" s="1"/>
    </row>
    <row r="371" spans="18:31" ht="75" customHeight="1">
      <c r="R371" s="1"/>
      <c r="S371" s="1"/>
      <c r="AD371" s="1"/>
      <c r="AE371" s="1"/>
    </row>
    <row r="372" spans="18:31" ht="75" customHeight="1">
      <c r="R372" s="1"/>
      <c r="S372" s="1"/>
      <c r="AD372" s="1"/>
      <c r="AE372" s="1"/>
    </row>
    <row r="373" spans="18:31" ht="75" customHeight="1">
      <c r="R373" s="1"/>
      <c r="S373" s="1"/>
      <c r="AD373" s="1"/>
      <c r="AE373" s="1"/>
    </row>
    <row r="374" spans="18:31" ht="75" customHeight="1">
      <c r="R374" s="1"/>
      <c r="S374" s="1"/>
      <c r="AD374" s="1"/>
      <c r="AE374" s="1"/>
    </row>
    <row r="375" spans="18:31" ht="75" customHeight="1">
      <c r="R375" s="1"/>
      <c r="S375" s="1"/>
      <c r="AD375" s="1"/>
      <c r="AE375" s="1"/>
    </row>
    <row r="376" spans="18:31" ht="75" customHeight="1">
      <c r="R376" s="1"/>
      <c r="S376" s="1"/>
      <c r="AD376" s="1"/>
      <c r="AE376" s="1"/>
    </row>
    <row r="377" spans="18:31" ht="75" customHeight="1">
      <c r="R377" s="1"/>
      <c r="S377" s="1"/>
      <c r="AD377" s="1"/>
      <c r="AE377" s="1"/>
    </row>
    <row r="378" spans="18:31" ht="75" customHeight="1">
      <c r="R378" s="1"/>
      <c r="S378" s="1"/>
      <c r="AD378" s="1"/>
      <c r="AE378" s="1"/>
    </row>
    <row r="379" spans="18:31" ht="75" customHeight="1">
      <c r="R379" s="1"/>
      <c r="S379" s="1"/>
      <c r="AD379" s="1"/>
      <c r="AE379" s="1"/>
    </row>
    <row r="380" spans="18:31" ht="75" customHeight="1">
      <c r="R380" s="1"/>
      <c r="S380" s="1"/>
      <c r="AD380" s="1"/>
      <c r="AE380" s="1"/>
    </row>
    <row r="381" spans="18:31" ht="75" customHeight="1">
      <c r="R381" s="1"/>
      <c r="S381" s="1"/>
      <c r="AD381" s="1"/>
      <c r="AE381" s="1"/>
    </row>
    <row r="382" spans="18:31" ht="75" customHeight="1">
      <c r="R382" s="1"/>
      <c r="S382" s="1"/>
      <c r="AD382" s="1"/>
      <c r="AE382" s="1"/>
    </row>
    <row r="383" spans="18:31" ht="75" customHeight="1">
      <c r="R383" s="1"/>
      <c r="S383" s="1"/>
      <c r="AD383" s="1"/>
      <c r="AE383" s="1"/>
    </row>
    <row r="384" spans="18:31" ht="75" customHeight="1">
      <c r="R384" s="1"/>
      <c r="S384" s="1"/>
      <c r="AD384" s="1"/>
      <c r="AE384" s="1"/>
    </row>
    <row r="385" spans="18:31" ht="75" customHeight="1">
      <c r="R385" s="1"/>
      <c r="S385" s="1"/>
      <c r="AD385" s="1"/>
      <c r="AE385" s="1"/>
    </row>
    <row r="386" spans="18:31" ht="75" customHeight="1">
      <c r="R386" s="1"/>
      <c r="S386" s="1"/>
      <c r="AD386" s="1"/>
      <c r="AE386" s="1"/>
    </row>
    <row r="387" spans="18:31" ht="75" customHeight="1">
      <c r="R387" s="1"/>
      <c r="S387" s="1"/>
      <c r="AD387" s="1"/>
      <c r="AE387" s="1"/>
    </row>
    <row r="388" spans="18:31" ht="75" customHeight="1">
      <c r="R388" s="1"/>
      <c r="S388" s="1"/>
      <c r="AD388" s="1"/>
      <c r="AE388" s="1"/>
    </row>
    <row r="389" spans="18:31" ht="75" customHeight="1">
      <c r="R389" s="1"/>
      <c r="S389" s="1"/>
      <c r="AD389" s="1"/>
      <c r="AE389" s="1"/>
    </row>
    <row r="390" spans="18:31" ht="75" customHeight="1">
      <c r="R390" s="1"/>
      <c r="S390" s="1"/>
      <c r="AD390" s="1"/>
      <c r="AE390" s="1"/>
    </row>
    <row r="391" spans="18:31" ht="75" customHeight="1">
      <c r="R391" s="1"/>
      <c r="S391" s="1"/>
      <c r="AD391" s="1"/>
      <c r="AE391" s="1"/>
    </row>
    <row r="392" spans="18:31" ht="75" customHeight="1">
      <c r="R392" s="1"/>
      <c r="S392" s="1"/>
      <c r="AD392" s="1"/>
      <c r="AE392" s="1"/>
    </row>
    <row r="393" spans="18:31" ht="75" customHeight="1">
      <c r="R393" s="1"/>
      <c r="S393" s="1"/>
      <c r="AD393" s="1"/>
      <c r="AE393" s="1"/>
    </row>
    <row r="394" spans="18:31" ht="75" customHeight="1">
      <c r="R394" s="1"/>
      <c r="S394" s="1"/>
      <c r="AD394" s="1"/>
      <c r="AE394" s="1"/>
    </row>
    <row r="395" spans="18:31" ht="75" customHeight="1">
      <c r="R395" s="1"/>
      <c r="S395" s="1"/>
      <c r="AD395" s="1"/>
      <c r="AE395" s="1"/>
    </row>
    <row r="396" spans="18:31" ht="75" customHeight="1">
      <c r="R396" s="1"/>
      <c r="S396" s="1"/>
      <c r="AD396" s="1"/>
      <c r="AE396" s="1"/>
    </row>
    <row r="397" spans="18:31" ht="75" customHeight="1">
      <c r="R397" s="1"/>
      <c r="S397" s="1"/>
      <c r="AD397" s="1"/>
      <c r="AE397" s="1"/>
    </row>
    <row r="398" spans="18:31" ht="75" customHeight="1">
      <c r="R398" s="1"/>
      <c r="S398" s="1"/>
      <c r="AD398" s="1"/>
      <c r="AE398" s="1"/>
    </row>
    <row r="399" spans="18:31" ht="75" customHeight="1">
      <c r="R399" s="1"/>
      <c r="S399" s="1"/>
      <c r="AD399" s="1"/>
      <c r="AE399" s="1"/>
    </row>
    <row r="400" spans="18:31" ht="75" customHeight="1">
      <c r="R400" s="1"/>
      <c r="S400" s="1"/>
      <c r="AD400" s="1"/>
      <c r="AE400" s="1"/>
    </row>
    <row r="401" spans="18:31" ht="75" customHeight="1">
      <c r="R401" s="1"/>
      <c r="S401" s="1"/>
      <c r="AD401" s="1"/>
      <c r="AE401" s="1"/>
    </row>
    <row r="402" spans="18:31" ht="75" customHeight="1">
      <c r="R402" s="1"/>
      <c r="S402" s="1"/>
      <c r="AD402" s="1"/>
      <c r="AE402" s="1"/>
    </row>
    <row r="403" spans="18:31" ht="75" customHeight="1">
      <c r="R403" s="1"/>
      <c r="S403" s="1"/>
      <c r="AD403" s="1"/>
      <c r="AE403" s="1"/>
    </row>
    <row r="404" spans="18:31" ht="75" customHeight="1">
      <c r="R404" s="1"/>
      <c r="S404" s="1"/>
      <c r="AD404" s="1"/>
      <c r="AE404" s="1"/>
    </row>
    <row r="405" spans="18:31" ht="75" customHeight="1">
      <c r="R405" s="1"/>
      <c r="S405" s="1"/>
      <c r="AD405" s="1"/>
      <c r="AE405" s="1"/>
    </row>
    <row r="406" spans="18:31" ht="75" customHeight="1">
      <c r="R406" s="1"/>
      <c r="S406" s="1"/>
      <c r="AD406" s="1"/>
      <c r="AE406" s="1"/>
    </row>
    <row r="407" spans="18:31" ht="75" customHeight="1">
      <c r="R407" s="1"/>
      <c r="S407" s="1"/>
      <c r="AD407" s="1"/>
      <c r="AE407" s="1"/>
    </row>
    <row r="408" spans="18:31" ht="75" customHeight="1">
      <c r="R408" s="1"/>
      <c r="S408" s="1"/>
      <c r="AD408" s="1"/>
      <c r="AE408" s="1"/>
    </row>
    <row r="409" spans="18:31" ht="75" customHeight="1">
      <c r="R409" s="1"/>
      <c r="S409" s="1"/>
      <c r="AD409" s="1"/>
      <c r="AE409" s="1"/>
    </row>
    <row r="410" spans="18:31" ht="75" customHeight="1">
      <c r="R410" s="1"/>
      <c r="S410" s="1"/>
      <c r="AD410" s="1"/>
      <c r="AE410" s="1"/>
    </row>
    <row r="411" spans="18:31" ht="75" customHeight="1">
      <c r="R411" s="1"/>
      <c r="S411" s="1"/>
      <c r="AD411" s="1"/>
      <c r="AE411" s="1"/>
    </row>
    <row r="412" spans="18:31" ht="75" customHeight="1">
      <c r="R412" s="1"/>
      <c r="S412" s="1"/>
      <c r="AD412" s="1"/>
      <c r="AE412" s="1"/>
    </row>
    <row r="413" spans="18:31" ht="75" customHeight="1">
      <c r="R413" s="1"/>
      <c r="S413" s="1"/>
      <c r="AD413" s="1"/>
      <c r="AE413" s="1"/>
    </row>
    <row r="414" spans="18:31" ht="75" customHeight="1">
      <c r="R414" s="1"/>
      <c r="S414" s="1"/>
      <c r="AD414" s="1"/>
      <c r="AE414" s="1"/>
    </row>
    <row r="415" spans="18:31" ht="75" customHeight="1">
      <c r="R415" s="1"/>
      <c r="S415" s="1"/>
      <c r="AD415" s="1"/>
      <c r="AE415" s="1"/>
    </row>
    <row r="416" spans="18:31" ht="75" customHeight="1">
      <c r="R416" s="1"/>
      <c r="S416" s="1"/>
      <c r="AD416" s="1"/>
      <c r="AE416" s="1"/>
    </row>
    <row r="417" spans="18:31" ht="75" customHeight="1">
      <c r="R417" s="1"/>
      <c r="S417" s="1"/>
      <c r="AD417" s="1"/>
      <c r="AE417" s="1"/>
    </row>
    <row r="418" spans="18:31" ht="75" customHeight="1">
      <c r="R418" s="1"/>
      <c r="S418" s="1"/>
      <c r="AD418" s="1"/>
      <c r="AE418" s="1"/>
    </row>
    <row r="419" spans="18:31" ht="75" customHeight="1">
      <c r="R419" s="1"/>
      <c r="S419" s="1"/>
      <c r="AD419" s="1"/>
      <c r="AE419" s="1"/>
    </row>
    <row r="420" spans="18:31" ht="75" customHeight="1">
      <c r="R420" s="1"/>
      <c r="S420" s="1"/>
      <c r="AD420" s="1"/>
      <c r="AE420" s="1"/>
    </row>
    <row r="421" spans="18:31" ht="75" customHeight="1">
      <c r="R421" s="1"/>
      <c r="S421" s="1"/>
      <c r="AD421" s="1"/>
      <c r="AE421" s="1"/>
    </row>
    <row r="422" spans="18:31" ht="75" customHeight="1">
      <c r="R422" s="1"/>
      <c r="S422" s="1"/>
      <c r="AD422" s="1"/>
      <c r="AE422" s="1"/>
    </row>
    <row r="423" spans="18:31" ht="75" customHeight="1">
      <c r="R423" s="1"/>
      <c r="S423" s="1"/>
      <c r="AD423" s="1"/>
      <c r="AE423" s="1"/>
    </row>
    <row r="424" spans="18:31" ht="75" customHeight="1">
      <c r="R424" s="1"/>
      <c r="S424" s="1"/>
      <c r="AD424" s="1"/>
      <c r="AE424" s="1"/>
    </row>
    <row r="425" spans="18:31" ht="75" customHeight="1">
      <c r="R425" s="1"/>
      <c r="S425" s="1"/>
      <c r="AD425" s="1"/>
      <c r="AE425" s="1"/>
    </row>
    <row r="426" spans="18:31" ht="75" customHeight="1">
      <c r="R426" s="1"/>
      <c r="S426" s="1"/>
      <c r="AD426" s="1"/>
      <c r="AE426" s="1"/>
    </row>
    <row r="427" spans="18:31" ht="75" customHeight="1">
      <c r="R427" s="1"/>
      <c r="S427" s="1"/>
      <c r="AD427" s="1"/>
      <c r="AE427" s="1"/>
    </row>
    <row r="428" spans="18:31" ht="75" customHeight="1">
      <c r="R428" s="1"/>
      <c r="S428" s="1"/>
      <c r="AD428" s="1"/>
      <c r="AE428" s="1"/>
    </row>
    <row r="429" spans="18:31" ht="75" customHeight="1">
      <c r="R429" s="1"/>
      <c r="S429" s="1"/>
      <c r="AD429" s="1"/>
      <c r="AE429" s="1"/>
    </row>
    <row r="430" spans="18:31" ht="75" customHeight="1">
      <c r="R430" s="1"/>
      <c r="S430" s="1"/>
      <c r="AD430" s="1"/>
      <c r="AE430" s="1"/>
    </row>
    <row r="431" spans="18:31" ht="75" customHeight="1">
      <c r="R431" s="1"/>
      <c r="S431" s="1"/>
      <c r="AD431" s="1"/>
      <c r="AE431" s="1"/>
    </row>
    <row r="432" spans="18:31" ht="75" customHeight="1">
      <c r="R432" s="1"/>
      <c r="S432" s="1"/>
      <c r="AD432" s="1"/>
      <c r="AE432" s="1"/>
    </row>
    <row r="433" spans="18:31" ht="75" customHeight="1">
      <c r="R433" s="1"/>
      <c r="S433" s="1"/>
      <c r="AD433" s="1"/>
      <c r="AE433" s="1"/>
    </row>
    <row r="434" spans="18:31" ht="75" customHeight="1">
      <c r="R434" s="1"/>
      <c r="S434" s="1"/>
      <c r="AD434" s="1"/>
      <c r="AE434" s="1"/>
    </row>
    <row r="435" spans="18:31" ht="75" customHeight="1">
      <c r="R435" s="1"/>
      <c r="S435" s="1"/>
      <c r="AD435" s="1"/>
      <c r="AE435" s="1"/>
    </row>
    <row r="436" spans="18:31" ht="75" customHeight="1">
      <c r="R436" s="1"/>
      <c r="S436" s="1"/>
      <c r="AD436" s="1"/>
      <c r="AE436" s="1"/>
    </row>
    <row r="437" spans="18:31" ht="75" customHeight="1">
      <c r="R437" s="1"/>
      <c r="S437" s="1"/>
      <c r="AD437" s="1"/>
      <c r="AE437" s="1"/>
    </row>
    <row r="438" spans="18:31" ht="75" customHeight="1">
      <c r="R438" s="1"/>
      <c r="S438" s="1"/>
      <c r="AD438" s="1"/>
      <c r="AE438" s="1"/>
    </row>
    <row r="439" spans="18:31" ht="75" customHeight="1">
      <c r="R439" s="1"/>
      <c r="S439" s="1"/>
      <c r="AD439" s="1"/>
      <c r="AE439" s="1"/>
    </row>
    <row r="440" spans="18:31" ht="75" customHeight="1">
      <c r="R440" s="1"/>
      <c r="S440" s="1"/>
      <c r="AD440" s="1"/>
      <c r="AE440" s="1"/>
    </row>
    <row r="441" spans="18:31" ht="75" customHeight="1">
      <c r="R441" s="1"/>
      <c r="S441" s="1"/>
      <c r="AD441" s="1"/>
      <c r="AE441" s="1"/>
    </row>
    <row r="442" spans="18:31" ht="75" customHeight="1">
      <c r="R442" s="1"/>
      <c r="S442" s="1"/>
      <c r="AD442" s="1"/>
      <c r="AE442" s="1"/>
    </row>
    <row r="443" spans="18:31" ht="75" customHeight="1">
      <c r="R443" s="1"/>
      <c r="S443" s="1"/>
      <c r="AD443" s="1"/>
      <c r="AE443" s="1"/>
    </row>
    <row r="444" spans="18:31" ht="75" customHeight="1">
      <c r="R444" s="1"/>
      <c r="S444" s="1"/>
      <c r="AD444" s="1"/>
      <c r="AE444" s="1"/>
    </row>
    <row r="445" spans="18:31" ht="75" customHeight="1">
      <c r="R445" s="1"/>
      <c r="S445" s="1"/>
      <c r="AD445" s="1"/>
      <c r="AE445" s="1"/>
    </row>
    <row r="446" spans="18:31" ht="75" customHeight="1">
      <c r="R446" s="1"/>
      <c r="S446" s="1"/>
      <c r="AD446" s="1"/>
      <c r="AE446" s="1"/>
    </row>
    <row r="447" spans="18:31" ht="75" customHeight="1">
      <c r="R447" s="1"/>
      <c r="S447" s="1"/>
      <c r="AD447" s="1"/>
      <c r="AE447" s="1"/>
    </row>
    <row r="448" spans="18:31" ht="75" customHeight="1">
      <c r="R448" s="1"/>
      <c r="S448" s="1"/>
      <c r="AD448" s="1"/>
      <c r="AE448" s="1"/>
    </row>
    <row r="449" spans="18:31" ht="75" customHeight="1">
      <c r="R449" s="1"/>
      <c r="S449" s="1"/>
      <c r="AD449" s="1"/>
      <c r="AE449" s="1"/>
    </row>
    <row r="450" spans="18:31" ht="75" customHeight="1">
      <c r="R450" s="1"/>
      <c r="S450" s="1"/>
      <c r="AD450" s="1"/>
      <c r="AE450" s="1"/>
    </row>
    <row r="451" spans="18:31" ht="75" customHeight="1">
      <c r="R451" s="1"/>
      <c r="S451" s="1"/>
      <c r="AD451" s="1"/>
      <c r="AE451" s="1"/>
    </row>
    <row r="452" spans="18:31" ht="75" customHeight="1">
      <c r="R452" s="1"/>
      <c r="S452" s="1"/>
      <c r="AD452" s="1"/>
      <c r="AE452" s="1"/>
    </row>
    <row r="453" spans="18:31" ht="75" customHeight="1">
      <c r="R453" s="1"/>
      <c r="S453" s="1"/>
      <c r="AD453" s="1"/>
      <c r="AE453" s="1"/>
    </row>
    <row r="454" spans="18:31" ht="75" customHeight="1">
      <c r="R454" s="1"/>
      <c r="S454" s="1"/>
      <c r="AD454" s="1"/>
      <c r="AE454" s="1"/>
    </row>
    <row r="455" spans="18:31" ht="75" customHeight="1">
      <c r="R455" s="1"/>
      <c r="S455" s="1"/>
      <c r="AD455" s="1"/>
      <c r="AE455" s="1"/>
    </row>
    <row r="456" spans="18:31" ht="75" customHeight="1">
      <c r="R456" s="1"/>
      <c r="S456" s="1"/>
      <c r="AD456" s="1"/>
      <c r="AE456" s="1"/>
    </row>
    <row r="457" spans="18:31" ht="75" customHeight="1">
      <c r="R457" s="1"/>
      <c r="S457" s="1"/>
      <c r="AD457" s="1"/>
      <c r="AE457" s="1"/>
    </row>
    <row r="458" spans="18:31" ht="75" customHeight="1">
      <c r="R458" s="1"/>
      <c r="S458" s="1"/>
      <c r="AD458" s="1"/>
      <c r="AE458" s="1"/>
    </row>
    <row r="459" spans="18:31" ht="75" customHeight="1">
      <c r="R459" s="1"/>
      <c r="S459" s="1"/>
      <c r="AD459" s="1"/>
      <c r="AE459" s="1"/>
    </row>
    <row r="460" spans="18:31" ht="75" customHeight="1">
      <c r="R460" s="1"/>
      <c r="S460" s="1"/>
      <c r="AD460" s="1"/>
      <c r="AE460" s="1"/>
    </row>
    <row r="461" spans="18:31" ht="75" customHeight="1">
      <c r="R461" s="1"/>
      <c r="S461" s="1"/>
      <c r="AD461" s="1"/>
      <c r="AE461" s="1"/>
    </row>
    <row r="462" spans="18:31" ht="75" customHeight="1">
      <c r="R462" s="1"/>
      <c r="S462" s="1"/>
      <c r="AD462" s="1"/>
      <c r="AE462" s="1"/>
    </row>
    <row r="463" spans="18:31" ht="75" customHeight="1">
      <c r="R463" s="1"/>
      <c r="S463" s="1"/>
      <c r="AD463" s="1"/>
      <c r="AE463" s="1"/>
    </row>
    <row r="464" spans="18:31" ht="75" customHeight="1">
      <c r="R464" s="1"/>
      <c r="S464" s="1"/>
      <c r="AD464" s="1"/>
      <c r="AE464" s="1"/>
    </row>
    <row r="465" spans="18:31" ht="75" customHeight="1">
      <c r="R465" s="1"/>
      <c r="S465" s="1"/>
      <c r="AD465" s="1"/>
      <c r="AE465" s="1"/>
    </row>
    <row r="466" spans="18:31" ht="75" customHeight="1">
      <c r="R466" s="1"/>
      <c r="S466" s="1"/>
      <c r="AD466" s="1"/>
      <c r="AE466" s="1"/>
    </row>
    <row r="467" spans="18:31" ht="75" customHeight="1">
      <c r="R467" s="1"/>
      <c r="S467" s="1"/>
      <c r="AD467" s="1"/>
      <c r="AE467" s="1"/>
    </row>
    <row r="468" spans="18:31" ht="75" customHeight="1">
      <c r="R468" s="1"/>
      <c r="S468" s="1"/>
      <c r="AD468" s="1"/>
      <c r="AE468" s="1"/>
    </row>
    <row r="469" spans="18:31" ht="75" customHeight="1">
      <c r="R469" s="1"/>
      <c r="S469" s="1"/>
      <c r="AD469" s="1"/>
      <c r="AE469" s="1"/>
    </row>
    <row r="470" spans="18:31" ht="75" customHeight="1">
      <c r="R470" s="1"/>
      <c r="S470" s="1"/>
      <c r="AD470" s="1"/>
      <c r="AE470" s="1"/>
    </row>
    <row r="471" spans="18:31" ht="75" customHeight="1">
      <c r="R471" s="1"/>
      <c r="S471" s="1"/>
      <c r="AD471" s="1"/>
      <c r="AE471" s="1"/>
    </row>
    <row r="472" spans="18:31" ht="75" customHeight="1">
      <c r="R472" s="1"/>
      <c r="S472" s="1"/>
      <c r="AD472" s="1"/>
      <c r="AE472" s="1"/>
    </row>
    <row r="473" spans="18:31" ht="75" customHeight="1">
      <c r="R473" s="1"/>
      <c r="S473" s="1"/>
      <c r="AD473" s="1"/>
      <c r="AE473" s="1"/>
    </row>
    <row r="474" spans="18:31" ht="75" customHeight="1">
      <c r="R474" s="1"/>
      <c r="S474" s="1"/>
      <c r="AD474" s="1"/>
      <c r="AE474" s="1"/>
    </row>
    <row r="475" spans="18:31" ht="75" customHeight="1">
      <c r="R475" s="1"/>
      <c r="S475" s="1"/>
      <c r="AD475" s="1"/>
      <c r="AE475" s="1"/>
    </row>
    <row r="476" spans="18:31" ht="75" customHeight="1">
      <c r="R476" s="1"/>
      <c r="S476" s="1"/>
      <c r="AD476" s="1"/>
      <c r="AE476" s="1"/>
    </row>
    <row r="477" spans="18:31" ht="75" customHeight="1">
      <c r="R477" s="1"/>
      <c r="S477" s="1"/>
      <c r="AD477" s="1"/>
      <c r="AE477" s="1"/>
    </row>
    <row r="478" spans="18:31" ht="75" customHeight="1">
      <c r="R478" s="1"/>
      <c r="S478" s="1"/>
      <c r="AD478" s="1"/>
      <c r="AE478" s="1"/>
    </row>
    <row r="479" spans="18:31" ht="75" customHeight="1">
      <c r="R479" s="1"/>
      <c r="S479" s="1"/>
      <c r="AD479" s="1"/>
      <c r="AE479" s="1"/>
    </row>
    <row r="480" spans="18:31" ht="75" customHeight="1">
      <c r="R480" s="1"/>
      <c r="S480" s="1"/>
      <c r="AD480" s="1"/>
      <c r="AE480" s="1"/>
    </row>
    <row r="481" spans="18:31" ht="75" customHeight="1">
      <c r="R481" s="1"/>
      <c r="S481" s="1"/>
      <c r="AD481" s="1"/>
      <c r="AE481" s="1"/>
    </row>
    <row r="482" spans="18:31" ht="75" customHeight="1">
      <c r="R482" s="1"/>
      <c r="S482" s="1"/>
      <c r="AD482" s="1"/>
      <c r="AE482" s="1"/>
    </row>
    <row r="483" spans="18:31" ht="75" customHeight="1">
      <c r="R483" s="1"/>
      <c r="S483" s="1"/>
      <c r="AD483" s="1"/>
      <c r="AE483" s="1"/>
    </row>
    <row r="484" spans="18:31" ht="75" customHeight="1">
      <c r="R484" s="1"/>
      <c r="S484" s="1"/>
      <c r="AD484" s="1"/>
      <c r="AE484" s="1"/>
    </row>
    <row r="485" spans="18:31" ht="75" customHeight="1">
      <c r="R485" s="1"/>
      <c r="S485" s="1"/>
      <c r="AD485" s="1"/>
      <c r="AE485" s="1"/>
    </row>
    <row r="486" spans="18:31" ht="75" customHeight="1">
      <c r="R486" s="1"/>
      <c r="S486" s="1"/>
      <c r="AD486" s="1"/>
      <c r="AE486" s="1"/>
    </row>
    <row r="487" spans="18:31" ht="75" customHeight="1">
      <c r="R487" s="1"/>
      <c r="S487" s="1"/>
      <c r="AD487" s="1"/>
      <c r="AE487" s="1"/>
    </row>
    <row r="488" spans="18:31" ht="75" customHeight="1">
      <c r="R488" s="1"/>
      <c r="S488" s="1"/>
      <c r="AD488" s="1"/>
      <c r="AE488" s="1"/>
    </row>
    <row r="489" spans="18:31" ht="75" customHeight="1">
      <c r="R489" s="1"/>
      <c r="S489" s="1"/>
      <c r="AD489" s="1"/>
      <c r="AE489" s="1"/>
    </row>
    <row r="490" spans="18:31" ht="75" customHeight="1">
      <c r="R490" s="1"/>
      <c r="S490" s="1"/>
      <c r="AD490" s="1"/>
      <c r="AE490" s="1"/>
    </row>
    <row r="491" spans="18:31" ht="75" customHeight="1">
      <c r="R491" s="1"/>
      <c r="S491" s="1"/>
      <c r="AD491" s="1"/>
      <c r="AE491" s="1"/>
    </row>
    <row r="492" spans="18:31" ht="75" customHeight="1">
      <c r="R492" s="1"/>
      <c r="S492" s="1"/>
      <c r="AD492" s="1"/>
      <c r="AE492" s="1"/>
    </row>
    <row r="493" spans="18:31" ht="75" customHeight="1">
      <c r="R493" s="1"/>
      <c r="S493" s="1"/>
      <c r="AD493" s="1"/>
      <c r="AE493" s="1"/>
    </row>
    <row r="494" spans="18:31" ht="75" customHeight="1">
      <c r="R494" s="1"/>
      <c r="S494" s="1"/>
      <c r="AD494" s="1"/>
      <c r="AE494" s="1"/>
    </row>
    <row r="495" spans="18:31" ht="75" customHeight="1">
      <c r="R495" s="1"/>
      <c r="S495" s="1"/>
      <c r="AD495" s="1"/>
      <c r="AE495" s="1"/>
    </row>
    <row r="496" spans="18:31" ht="75" customHeight="1">
      <c r="R496" s="1"/>
      <c r="S496" s="1"/>
      <c r="AD496" s="1"/>
      <c r="AE496" s="1"/>
    </row>
    <row r="497" spans="18:31" ht="75" customHeight="1">
      <c r="R497" s="1"/>
      <c r="S497" s="1"/>
      <c r="AD497" s="1"/>
      <c r="AE497" s="1"/>
    </row>
    <row r="498" spans="18:31" ht="75" customHeight="1">
      <c r="R498" s="1"/>
      <c r="S498" s="1"/>
      <c r="AD498" s="1"/>
      <c r="AE498" s="1"/>
    </row>
    <row r="499" spans="18:31" ht="75" customHeight="1">
      <c r="R499" s="1"/>
      <c r="S499" s="1"/>
      <c r="AD499" s="1"/>
      <c r="AE499" s="1"/>
    </row>
    <row r="500" spans="18:31" ht="75" customHeight="1">
      <c r="R500" s="1"/>
      <c r="S500" s="1"/>
      <c r="AD500" s="1"/>
      <c r="AE500" s="1"/>
    </row>
    <row r="501" spans="18:31" ht="75" customHeight="1">
      <c r="R501" s="1"/>
      <c r="S501" s="1"/>
      <c r="AD501" s="1"/>
      <c r="AE501" s="1"/>
    </row>
    <row r="502" spans="18:31" ht="75" customHeight="1">
      <c r="R502" s="1"/>
      <c r="S502" s="1"/>
      <c r="AD502" s="1"/>
      <c r="AE502" s="1"/>
    </row>
    <row r="503" spans="18:31" ht="75" customHeight="1">
      <c r="R503" s="1"/>
      <c r="S503" s="1"/>
      <c r="AD503" s="1"/>
      <c r="AE503" s="1"/>
    </row>
    <row r="504" spans="18:31" ht="75" customHeight="1">
      <c r="R504" s="1"/>
      <c r="S504" s="1"/>
      <c r="AD504" s="1"/>
      <c r="AE504" s="1"/>
    </row>
    <row r="505" spans="18:31" ht="75" customHeight="1">
      <c r="R505" s="1"/>
      <c r="S505" s="1"/>
      <c r="AD505" s="1"/>
      <c r="AE505" s="1"/>
    </row>
    <row r="506" spans="18:31" ht="75" customHeight="1">
      <c r="R506" s="1"/>
      <c r="S506" s="1"/>
      <c r="AD506" s="1"/>
      <c r="AE506" s="1"/>
    </row>
    <row r="507" spans="18:31" ht="75" customHeight="1">
      <c r="R507" s="1"/>
      <c r="S507" s="1"/>
      <c r="AD507" s="1"/>
      <c r="AE507" s="1"/>
    </row>
    <row r="508" spans="18:31" ht="75" customHeight="1">
      <c r="R508" s="1"/>
      <c r="S508" s="1"/>
      <c r="AD508" s="1"/>
      <c r="AE508" s="1"/>
    </row>
    <row r="509" spans="18:31" ht="75" customHeight="1">
      <c r="R509" s="1"/>
      <c r="S509" s="1"/>
      <c r="AD509" s="1"/>
      <c r="AE509" s="1"/>
    </row>
    <row r="510" spans="18:31" ht="75" customHeight="1">
      <c r="R510" s="1"/>
      <c r="S510" s="1"/>
      <c r="AD510" s="1"/>
      <c r="AE510" s="1"/>
    </row>
    <row r="511" spans="18:31" ht="75" customHeight="1">
      <c r="R511" s="1"/>
      <c r="S511" s="1"/>
      <c r="AD511" s="1"/>
      <c r="AE511" s="1"/>
    </row>
    <row r="512" spans="18:31" ht="75" customHeight="1">
      <c r="R512" s="1"/>
      <c r="S512" s="1"/>
      <c r="AD512" s="1"/>
      <c r="AE512" s="1"/>
    </row>
    <row r="513" spans="18:31" ht="75" customHeight="1">
      <c r="R513" s="1"/>
      <c r="S513" s="1"/>
      <c r="AD513" s="1"/>
      <c r="AE513" s="1"/>
    </row>
    <row r="514" spans="18:31" ht="75" customHeight="1">
      <c r="R514" s="1"/>
      <c r="S514" s="1"/>
      <c r="AD514" s="1"/>
      <c r="AE514" s="1"/>
    </row>
    <row r="515" spans="18:31" ht="75" customHeight="1">
      <c r="R515" s="1"/>
      <c r="S515" s="1"/>
      <c r="AD515" s="1"/>
      <c r="AE515" s="1"/>
    </row>
    <row r="516" spans="18:31" ht="75" customHeight="1">
      <c r="R516" s="1"/>
      <c r="S516" s="1"/>
      <c r="AD516" s="1"/>
      <c r="AE516" s="1"/>
    </row>
    <row r="517" spans="18:31" ht="75" customHeight="1">
      <c r="R517" s="1"/>
      <c r="S517" s="1"/>
      <c r="AD517" s="1"/>
      <c r="AE517" s="1"/>
    </row>
    <row r="518" spans="18:31" ht="75" customHeight="1">
      <c r="R518" s="1"/>
      <c r="S518" s="1"/>
      <c r="AD518" s="1"/>
      <c r="AE518" s="1"/>
    </row>
    <row r="519" spans="18:31" ht="75" customHeight="1">
      <c r="R519" s="1"/>
      <c r="S519" s="1"/>
      <c r="AD519" s="1"/>
      <c r="AE519" s="1"/>
    </row>
    <row r="520" spans="18:31" ht="75" customHeight="1">
      <c r="R520" s="1"/>
      <c r="S520" s="1"/>
      <c r="AD520" s="1"/>
      <c r="AE520" s="1"/>
    </row>
    <row r="521" spans="18:31" ht="75" customHeight="1">
      <c r="R521" s="1"/>
      <c r="S521" s="1"/>
      <c r="AD521" s="1"/>
      <c r="AE521" s="1"/>
    </row>
    <row r="522" spans="18:31" ht="75" customHeight="1">
      <c r="R522" s="1"/>
      <c r="S522" s="1"/>
      <c r="AD522" s="1"/>
      <c r="AE522" s="1"/>
    </row>
    <row r="523" spans="18:31" ht="75" customHeight="1">
      <c r="R523" s="1"/>
      <c r="S523" s="1"/>
      <c r="AD523" s="1"/>
      <c r="AE523" s="1"/>
    </row>
    <row r="524" spans="18:31" ht="75" customHeight="1">
      <c r="R524" s="1"/>
      <c r="S524" s="1"/>
      <c r="AD524" s="1"/>
      <c r="AE524" s="1"/>
    </row>
    <row r="525" spans="18:31" ht="75" customHeight="1">
      <c r="R525" s="1"/>
      <c r="S525" s="1"/>
      <c r="AD525" s="1"/>
      <c r="AE525" s="1"/>
    </row>
    <row r="526" spans="18:31" ht="75" customHeight="1">
      <c r="R526" s="1"/>
      <c r="S526" s="1"/>
      <c r="AD526" s="1"/>
      <c r="AE526" s="1"/>
    </row>
    <row r="527" spans="18:31" ht="75" customHeight="1">
      <c r="R527" s="1"/>
      <c r="S527" s="1"/>
      <c r="AD527" s="1"/>
      <c r="AE527" s="1"/>
    </row>
    <row r="528" spans="18:31" ht="75" customHeight="1">
      <c r="R528" s="1"/>
      <c r="S528" s="1"/>
      <c r="AD528" s="1"/>
      <c r="AE528" s="1"/>
    </row>
    <row r="529" spans="18:31" ht="75" customHeight="1">
      <c r="R529" s="1"/>
      <c r="S529" s="1"/>
      <c r="AD529" s="1"/>
      <c r="AE529" s="1"/>
    </row>
    <row r="530" spans="18:31" ht="75" customHeight="1">
      <c r="R530" s="1"/>
      <c r="S530" s="1"/>
      <c r="AD530" s="1"/>
      <c r="AE530" s="1"/>
    </row>
    <row r="531" spans="18:31" ht="75" customHeight="1">
      <c r="R531" s="1"/>
      <c r="S531" s="1"/>
      <c r="AD531" s="1"/>
      <c r="AE531" s="1"/>
    </row>
    <row r="532" spans="18:31" ht="75" customHeight="1">
      <c r="R532" s="1"/>
      <c r="S532" s="1"/>
      <c r="AD532" s="1"/>
      <c r="AE532" s="1"/>
    </row>
    <row r="533" spans="18:31" ht="75" customHeight="1">
      <c r="R533" s="1"/>
      <c r="S533" s="1"/>
      <c r="AD533" s="1"/>
      <c r="AE533" s="1"/>
    </row>
    <row r="534" spans="18:31" ht="75" customHeight="1">
      <c r="R534" s="1"/>
      <c r="S534" s="1"/>
      <c r="AD534" s="1"/>
      <c r="AE534" s="1"/>
    </row>
    <row r="535" spans="18:31" ht="75" customHeight="1">
      <c r="R535" s="1"/>
      <c r="S535" s="1"/>
      <c r="AD535" s="1"/>
      <c r="AE535" s="1"/>
    </row>
    <row r="536" spans="18:31" ht="75" customHeight="1">
      <c r="R536" s="1"/>
      <c r="S536" s="1"/>
      <c r="AD536" s="1"/>
      <c r="AE536" s="1"/>
    </row>
    <row r="537" spans="18:31" ht="75" customHeight="1">
      <c r="R537" s="1"/>
      <c r="S537" s="1"/>
      <c r="AD537" s="1"/>
      <c r="AE537" s="1"/>
    </row>
    <row r="538" spans="18:31" ht="75" customHeight="1">
      <c r="R538" s="1"/>
      <c r="S538" s="1"/>
      <c r="AD538" s="1"/>
      <c r="AE538" s="1"/>
    </row>
    <row r="539" spans="18:31" ht="75" customHeight="1">
      <c r="R539" s="1"/>
      <c r="S539" s="1"/>
      <c r="AD539" s="1"/>
      <c r="AE539" s="1"/>
    </row>
    <row r="540" spans="18:31" ht="75" customHeight="1">
      <c r="R540" s="1"/>
      <c r="S540" s="1"/>
      <c r="AD540" s="1"/>
      <c r="AE540" s="1"/>
    </row>
    <row r="541" spans="18:31" ht="75" customHeight="1">
      <c r="R541" s="1"/>
      <c r="S541" s="1"/>
      <c r="AD541" s="1"/>
      <c r="AE541" s="1"/>
    </row>
    <row r="542" spans="18:31" ht="75" customHeight="1">
      <c r="R542" s="1"/>
      <c r="S542" s="1"/>
      <c r="AD542" s="1"/>
      <c r="AE542" s="1"/>
    </row>
    <row r="543" spans="18:31" ht="75" customHeight="1">
      <c r="R543" s="1"/>
      <c r="S543" s="1"/>
      <c r="AD543" s="1"/>
      <c r="AE543" s="1"/>
    </row>
    <row r="544" spans="18:31" ht="75" customHeight="1">
      <c r="R544" s="1"/>
      <c r="S544" s="1"/>
      <c r="AD544" s="1"/>
      <c r="AE544" s="1"/>
    </row>
    <row r="545" spans="18:31" ht="75" customHeight="1">
      <c r="R545" s="1"/>
      <c r="S545" s="1"/>
      <c r="AD545" s="1"/>
      <c r="AE545" s="1"/>
    </row>
    <row r="546" spans="18:31" ht="75" customHeight="1">
      <c r="R546" s="1"/>
      <c r="S546" s="1"/>
      <c r="AD546" s="1"/>
      <c r="AE546" s="1"/>
    </row>
    <row r="547" spans="18:31" ht="75" customHeight="1">
      <c r="R547" s="1"/>
      <c r="S547" s="1"/>
      <c r="AD547" s="1"/>
      <c r="AE547" s="1"/>
    </row>
    <row r="548" spans="18:31" ht="75" customHeight="1">
      <c r="R548" s="1"/>
      <c r="S548" s="1"/>
      <c r="AD548" s="1"/>
      <c r="AE548" s="1"/>
    </row>
    <row r="549" spans="18:31" ht="75" customHeight="1">
      <c r="R549" s="1"/>
      <c r="S549" s="1"/>
      <c r="AD549" s="1"/>
      <c r="AE549" s="1"/>
    </row>
    <row r="550" spans="18:31" ht="75" customHeight="1">
      <c r="R550" s="1"/>
      <c r="S550" s="1"/>
      <c r="AD550" s="1"/>
      <c r="AE550" s="1"/>
    </row>
    <row r="551" spans="18:31" ht="75" customHeight="1">
      <c r="R551" s="1"/>
      <c r="S551" s="1"/>
      <c r="AD551" s="1"/>
      <c r="AE551" s="1"/>
    </row>
    <row r="552" spans="18:31" ht="75" customHeight="1">
      <c r="R552" s="1"/>
      <c r="S552" s="1"/>
      <c r="AD552" s="1"/>
      <c r="AE552" s="1"/>
    </row>
    <row r="553" spans="18:31" ht="75" customHeight="1">
      <c r="R553" s="1"/>
      <c r="S553" s="1"/>
      <c r="AD553" s="1"/>
      <c r="AE553" s="1"/>
    </row>
    <row r="554" spans="18:31" ht="75" customHeight="1">
      <c r="R554" s="1"/>
      <c r="S554" s="1"/>
      <c r="AD554" s="1"/>
      <c r="AE554" s="1"/>
    </row>
    <row r="555" spans="18:31" ht="75" customHeight="1">
      <c r="R555" s="1"/>
      <c r="S555" s="1"/>
      <c r="AD555" s="1"/>
      <c r="AE555" s="1"/>
    </row>
    <row r="556" spans="18:31" ht="75" customHeight="1">
      <c r="R556" s="1"/>
      <c r="S556" s="1"/>
      <c r="AD556" s="1"/>
      <c r="AE556" s="1"/>
    </row>
    <row r="557" spans="18:31" ht="75" customHeight="1">
      <c r="R557" s="1"/>
      <c r="S557" s="1"/>
      <c r="AD557" s="1"/>
      <c r="AE557" s="1"/>
    </row>
    <row r="558" spans="18:31" ht="75" customHeight="1">
      <c r="R558" s="1"/>
      <c r="S558" s="1"/>
      <c r="AD558" s="1"/>
      <c r="AE558" s="1"/>
    </row>
    <row r="559" spans="18:31" ht="75" customHeight="1">
      <c r="R559" s="1"/>
      <c r="S559" s="1"/>
      <c r="AD559" s="1"/>
      <c r="AE559" s="1"/>
    </row>
    <row r="560" spans="18:31" ht="75" customHeight="1">
      <c r="R560" s="1"/>
      <c r="S560" s="1"/>
      <c r="AD560" s="1"/>
      <c r="AE560" s="1"/>
    </row>
    <row r="561" spans="18:31" ht="75" customHeight="1">
      <c r="R561" s="1"/>
      <c r="S561" s="1"/>
      <c r="AD561" s="1"/>
      <c r="AE561" s="1"/>
    </row>
    <row r="562" spans="18:31" ht="75" customHeight="1">
      <c r="R562" s="1"/>
      <c r="S562" s="1"/>
      <c r="AD562" s="1"/>
      <c r="AE562" s="1"/>
    </row>
    <row r="563" spans="18:31" ht="75" customHeight="1">
      <c r="R563" s="1"/>
      <c r="S563" s="1"/>
      <c r="AD563" s="1"/>
      <c r="AE563" s="1"/>
    </row>
    <row r="564" spans="18:31" ht="75" customHeight="1">
      <c r="R564" s="1"/>
      <c r="S564" s="1"/>
      <c r="AD564" s="1"/>
      <c r="AE564" s="1"/>
    </row>
    <row r="565" spans="18:31" ht="75" customHeight="1">
      <c r="R565" s="1"/>
      <c r="S565" s="1"/>
      <c r="AD565" s="1"/>
      <c r="AE565" s="1"/>
    </row>
    <row r="566" spans="18:31" ht="75" customHeight="1">
      <c r="R566" s="1"/>
      <c r="S566" s="1"/>
      <c r="AD566" s="1"/>
      <c r="AE566" s="1"/>
    </row>
    <row r="567" spans="18:31" ht="75" customHeight="1">
      <c r="R567" s="1"/>
      <c r="S567" s="1"/>
      <c r="AD567" s="1"/>
      <c r="AE567" s="1"/>
    </row>
    <row r="568" spans="18:31" ht="75" customHeight="1">
      <c r="R568" s="1"/>
      <c r="S568" s="1"/>
      <c r="AD568" s="1"/>
      <c r="AE568" s="1"/>
    </row>
    <row r="569" spans="18:31" ht="75" customHeight="1">
      <c r="R569" s="1"/>
      <c r="S569" s="1"/>
      <c r="AD569" s="1"/>
      <c r="AE569" s="1"/>
    </row>
    <row r="570" spans="18:31" ht="75" customHeight="1">
      <c r="R570" s="1"/>
      <c r="S570" s="1"/>
      <c r="AD570" s="1"/>
      <c r="AE570" s="1"/>
    </row>
    <row r="571" spans="18:31" ht="75" customHeight="1">
      <c r="R571" s="1"/>
      <c r="S571" s="1"/>
      <c r="AD571" s="1"/>
      <c r="AE571" s="1"/>
    </row>
    <row r="572" spans="18:31" ht="75" customHeight="1">
      <c r="R572" s="1"/>
      <c r="S572" s="1"/>
      <c r="AD572" s="1"/>
      <c r="AE572" s="1"/>
    </row>
    <row r="573" spans="18:31" ht="75" customHeight="1">
      <c r="R573" s="1"/>
      <c r="S573" s="1"/>
      <c r="AD573" s="1"/>
      <c r="AE573" s="1"/>
    </row>
    <row r="574" spans="18:31" ht="75" customHeight="1">
      <c r="R574" s="1"/>
      <c r="S574" s="1"/>
      <c r="AD574" s="1"/>
      <c r="AE574" s="1"/>
    </row>
    <row r="575" spans="18:31" ht="75" customHeight="1">
      <c r="R575" s="1"/>
      <c r="S575" s="1"/>
      <c r="AD575" s="1"/>
      <c r="AE575" s="1"/>
    </row>
    <row r="576" spans="18:31" ht="75" customHeight="1">
      <c r="R576" s="1"/>
      <c r="S576" s="1"/>
      <c r="AD576" s="1"/>
      <c r="AE576" s="1"/>
    </row>
    <row r="577" spans="18:31" ht="75" customHeight="1">
      <c r="R577" s="1"/>
      <c r="S577" s="1"/>
      <c r="AD577" s="1"/>
      <c r="AE577" s="1"/>
    </row>
    <row r="578" spans="18:31" ht="75" customHeight="1">
      <c r="R578" s="1"/>
      <c r="S578" s="1"/>
      <c r="AD578" s="1"/>
      <c r="AE578" s="1"/>
    </row>
    <row r="579" spans="18:31" ht="75" customHeight="1">
      <c r="R579" s="1"/>
      <c r="S579" s="1"/>
      <c r="AD579" s="1"/>
      <c r="AE579" s="1"/>
    </row>
    <row r="580" spans="18:31" ht="75" customHeight="1">
      <c r="R580" s="1"/>
      <c r="S580" s="1"/>
      <c r="AD580" s="1"/>
      <c r="AE580" s="1"/>
    </row>
    <row r="581" spans="18:31" ht="75" customHeight="1">
      <c r="R581" s="1"/>
      <c r="S581" s="1"/>
      <c r="AD581" s="1"/>
      <c r="AE581" s="1"/>
    </row>
    <row r="582" spans="18:31" ht="75" customHeight="1">
      <c r="R582" s="1"/>
      <c r="S582" s="1"/>
      <c r="AD582" s="1"/>
      <c r="AE582" s="1"/>
    </row>
    <row r="583" spans="18:31" ht="75" customHeight="1">
      <c r="R583" s="1"/>
      <c r="S583" s="1"/>
      <c r="AD583" s="1"/>
      <c r="AE583" s="1"/>
    </row>
    <row r="584" spans="18:31" ht="75" customHeight="1">
      <c r="R584" s="1"/>
      <c r="S584" s="1"/>
      <c r="AD584" s="1"/>
      <c r="AE584" s="1"/>
    </row>
    <row r="585" spans="18:31" ht="75" customHeight="1">
      <c r="R585" s="1"/>
      <c r="S585" s="1"/>
      <c r="AD585" s="1"/>
      <c r="AE585" s="1"/>
    </row>
    <row r="586" spans="18:31" ht="75" customHeight="1">
      <c r="R586" s="1"/>
      <c r="S586" s="1"/>
      <c r="AD586" s="1"/>
      <c r="AE586" s="1"/>
    </row>
    <row r="587" spans="18:31" ht="75" customHeight="1">
      <c r="R587" s="1"/>
      <c r="S587" s="1"/>
      <c r="AD587" s="1"/>
      <c r="AE587" s="1"/>
    </row>
    <row r="588" spans="18:31" ht="75" customHeight="1">
      <c r="R588" s="1"/>
      <c r="S588" s="1"/>
      <c r="AD588" s="1"/>
      <c r="AE588" s="1"/>
    </row>
    <row r="589" spans="18:31" ht="75" customHeight="1">
      <c r="R589" s="1"/>
      <c r="S589" s="1"/>
      <c r="AD589" s="1"/>
      <c r="AE589" s="1"/>
    </row>
    <row r="590" spans="18:31" ht="75" customHeight="1">
      <c r="R590" s="1"/>
      <c r="S590" s="1"/>
      <c r="AD590" s="1"/>
      <c r="AE590" s="1"/>
    </row>
    <row r="591" spans="18:31" ht="75" customHeight="1">
      <c r="R591" s="1"/>
      <c r="S591" s="1"/>
      <c r="AD591" s="1"/>
      <c r="AE591" s="1"/>
    </row>
    <row r="592" spans="18:31" ht="75" customHeight="1">
      <c r="R592" s="1"/>
      <c r="S592" s="1"/>
      <c r="AD592" s="1"/>
      <c r="AE592" s="1"/>
    </row>
    <row r="593" spans="18:31" ht="75" customHeight="1">
      <c r="R593" s="1"/>
      <c r="S593" s="1"/>
      <c r="AD593" s="1"/>
      <c r="AE593" s="1"/>
    </row>
    <row r="594" spans="18:31" ht="75" customHeight="1">
      <c r="R594" s="1"/>
      <c r="S594" s="1"/>
      <c r="AD594" s="1"/>
      <c r="AE594" s="1"/>
    </row>
    <row r="595" spans="18:31" ht="75" customHeight="1">
      <c r="R595" s="1"/>
      <c r="S595" s="1"/>
      <c r="AD595" s="1"/>
      <c r="AE595" s="1"/>
    </row>
    <row r="596" spans="18:31" ht="75" customHeight="1">
      <c r="R596" s="1"/>
      <c r="S596" s="1"/>
      <c r="AD596" s="1"/>
      <c r="AE596" s="1"/>
    </row>
    <row r="597" spans="18:31" ht="75" customHeight="1">
      <c r="R597" s="1"/>
      <c r="S597" s="1"/>
      <c r="AD597" s="1"/>
      <c r="AE597" s="1"/>
    </row>
    <row r="598" spans="18:31" ht="75" customHeight="1">
      <c r="R598" s="1"/>
      <c r="S598" s="1"/>
      <c r="AD598" s="1"/>
      <c r="AE598" s="1"/>
    </row>
    <row r="599" spans="18:31" ht="75" customHeight="1">
      <c r="R599" s="1"/>
      <c r="S599" s="1"/>
      <c r="AD599" s="1"/>
      <c r="AE599" s="1"/>
    </row>
    <row r="600" spans="18:31" ht="75" customHeight="1">
      <c r="R600" s="1"/>
      <c r="S600" s="1"/>
      <c r="AD600" s="1"/>
      <c r="AE600" s="1"/>
    </row>
    <row r="601" spans="18:31" ht="75" customHeight="1">
      <c r="R601" s="1"/>
      <c r="S601" s="1"/>
      <c r="AD601" s="1"/>
      <c r="AE601" s="1"/>
    </row>
    <row r="602" spans="18:31" ht="75" customHeight="1">
      <c r="R602" s="1"/>
      <c r="S602" s="1"/>
      <c r="AD602" s="1"/>
      <c r="AE602" s="1"/>
    </row>
    <row r="603" spans="18:31" ht="75" customHeight="1">
      <c r="R603" s="1"/>
      <c r="S603" s="1"/>
      <c r="AD603" s="1"/>
      <c r="AE603" s="1"/>
    </row>
    <row r="604" spans="18:31" ht="75" customHeight="1">
      <c r="R604" s="1"/>
      <c r="S604" s="1"/>
      <c r="AD604" s="1"/>
      <c r="AE604" s="1"/>
    </row>
    <row r="605" spans="18:31" ht="75" customHeight="1">
      <c r="R605" s="1"/>
      <c r="S605" s="1"/>
      <c r="AD605" s="1"/>
      <c r="AE605" s="1"/>
    </row>
    <row r="606" spans="18:31" ht="75" customHeight="1">
      <c r="R606" s="1"/>
      <c r="S606" s="1"/>
      <c r="AD606" s="1"/>
      <c r="AE606" s="1"/>
    </row>
    <row r="607" spans="18:31" ht="75" customHeight="1">
      <c r="R607" s="1"/>
      <c r="S607" s="1"/>
      <c r="AD607" s="1"/>
      <c r="AE607" s="1"/>
    </row>
    <row r="608" spans="18:31" ht="75" customHeight="1">
      <c r="R608" s="1"/>
      <c r="S608" s="1"/>
      <c r="AD608" s="1"/>
      <c r="AE608" s="1"/>
    </row>
    <row r="609" spans="18:31" ht="75" customHeight="1">
      <c r="R609" s="1"/>
      <c r="S609" s="1"/>
      <c r="AD609" s="1"/>
      <c r="AE609" s="1"/>
    </row>
    <row r="610" spans="18:31" ht="75" customHeight="1">
      <c r="R610" s="1"/>
      <c r="S610" s="1"/>
      <c r="AD610" s="1"/>
      <c r="AE610" s="1"/>
    </row>
    <row r="611" spans="18:31" ht="75" customHeight="1">
      <c r="R611" s="1"/>
      <c r="S611" s="1"/>
      <c r="AD611" s="1"/>
      <c r="AE611" s="1"/>
    </row>
    <row r="612" spans="18:31" ht="75" customHeight="1">
      <c r="R612" s="1"/>
      <c r="S612" s="1"/>
      <c r="AD612" s="1"/>
      <c r="AE612" s="1"/>
    </row>
    <row r="613" spans="18:31" ht="75" customHeight="1">
      <c r="R613" s="1"/>
      <c r="S613" s="1"/>
      <c r="AD613" s="1"/>
      <c r="AE613" s="1"/>
    </row>
    <row r="614" spans="18:31" ht="75" customHeight="1">
      <c r="R614" s="1"/>
      <c r="S614" s="1"/>
      <c r="AD614" s="1"/>
      <c r="AE614" s="1"/>
    </row>
    <row r="615" spans="18:31" ht="75" customHeight="1">
      <c r="R615" s="1"/>
      <c r="S615" s="1"/>
      <c r="AD615" s="1"/>
      <c r="AE615" s="1"/>
    </row>
    <row r="616" spans="18:31" ht="75" customHeight="1">
      <c r="R616" s="1"/>
      <c r="S616" s="1"/>
      <c r="AD616" s="1"/>
      <c r="AE616" s="1"/>
    </row>
    <row r="617" spans="18:31" ht="75" customHeight="1">
      <c r="R617" s="1"/>
      <c r="S617" s="1"/>
      <c r="AD617" s="1"/>
      <c r="AE617" s="1"/>
    </row>
    <row r="618" spans="18:31" ht="75" customHeight="1">
      <c r="R618" s="1"/>
      <c r="S618" s="1"/>
      <c r="AD618" s="1"/>
      <c r="AE618" s="1"/>
    </row>
    <row r="619" spans="18:31" ht="75" customHeight="1">
      <c r="R619" s="1"/>
      <c r="S619" s="1"/>
      <c r="AD619" s="1"/>
      <c r="AE619" s="1"/>
    </row>
    <row r="620" spans="18:31" ht="75" customHeight="1">
      <c r="R620" s="1"/>
      <c r="S620" s="1"/>
      <c r="AD620" s="1"/>
      <c r="AE620" s="1"/>
    </row>
    <row r="621" spans="18:31" ht="75" customHeight="1">
      <c r="R621" s="1"/>
      <c r="S621" s="1"/>
      <c r="AD621" s="1"/>
      <c r="AE621" s="1"/>
    </row>
    <row r="622" spans="18:31" ht="75" customHeight="1">
      <c r="R622" s="1"/>
      <c r="S622" s="1"/>
      <c r="AD622" s="1"/>
      <c r="AE622" s="1"/>
    </row>
    <row r="623" spans="18:31" ht="75" customHeight="1">
      <c r="R623" s="1"/>
      <c r="S623" s="1"/>
      <c r="AD623" s="1"/>
      <c r="AE623" s="1"/>
    </row>
    <row r="624" spans="18:31" ht="75" customHeight="1">
      <c r="R624" s="1"/>
      <c r="S624" s="1"/>
      <c r="AD624" s="1"/>
      <c r="AE624" s="1"/>
    </row>
    <row r="625" spans="18:31" ht="75" customHeight="1">
      <c r="R625" s="1"/>
      <c r="S625" s="1"/>
      <c r="AD625" s="1"/>
      <c r="AE625" s="1"/>
    </row>
    <row r="626" spans="18:31" ht="75" customHeight="1">
      <c r="R626" s="1"/>
      <c r="S626" s="1"/>
      <c r="AD626" s="1"/>
      <c r="AE626" s="1"/>
    </row>
    <row r="627" spans="18:31" ht="75" customHeight="1">
      <c r="R627" s="1"/>
      <c r="S627" s="1"/>
      <c r="AD627" s="1"/>
      <c r="AE627" s="1"/>
    </row>
    <row r="628" spans="18:31" ht="75" customHeight="1">
      <c r="R628" s="1"/>
      <c r="S628" s="1"/>
      <c r="AD628" s="1"/>
      <c r="AE628" s="1"/>
    </row>
    <row r="629" spans="18:31" ht="75" customHeight="1">
      <c r="R629" s="1"/>
      <c r="S629" s="1"/>
      <c r="AD629" s="1"/>
      <c r="AE629" s="1"/>
    </row>
    <row r="630" spans="18:31" ht="75" customHeight="1">
      <c r="R630" s="1"/>
      <c r="S630" s="1"/>
      <c r="AD630" s="1"/>
      <c r="AE630" s="1"/>
    </row>
    <row r="631" spans="18:31" ht="75" customHeight="1">
      <c r="R631" s="1"/>
      <c r="S631" s="1"/>
      <c r="AD631" s="1"/>
      <c r="AE631" s="1"/>
    </row>
    <row r="632" spans="18:31" ht="75" customHeight="1">
      <c r="R632" s="1"/>
      <c r="S632" s="1"/>
      <c r="AD632" s="1"/>
      <c r="AE632" s="1"/>
    </row>
    <row r="633" spans="18:31" ht="75" customHeight="1">
      <c r="R633" s="1"/>
      <c r="S633" s="1"/>
      <c r="AD633" s="1"/>
      <c r="AE633" s="1"/>
    </row>
    <row r="634" spans="18:31" ht="75" customHeight="1">
      <c r="R634" s="1"/>
      <c r="S634" s="1"/>
      <c r="AD634" s="1"/>
      <c r="AE634" s="1"/>
    </row>
    <row r="635" spans="18:31" ht="75" customHeight="1">
      <c r="R635" s="1"/>
      <c r="S635" s="1"/>
      <c r="AD635" s="1"/>
      <c r="AE635" s="1"/>
    </row>
    <row r="636" spans="18:31" ht="75" customHeight="1">
      <c r="R636" s="1"/>
      <c r="S636" s="1"/>
      <c r="AD636" s="1"/>
      <c r="AE636" s="1"/>
    </row>
    <row r="637" spans="18:31" ht="75" customHeight="1">
      <c r="R637" s="1"/>
      <c r="S637" s="1"/>
      <c r="AD637" s="1"/>
      <c r="AE637" s="1"/>
    </row>
    <row r="638" spans="18:31" ht="75" customHeight="1">
      <c r="R638" s="1"/>
      <c r="S638" s="1"/>
      <c r="AD638" s="1"/>
      <c r="AE638" s="1"/>
    </row>
    <row r="639" spans="18:31" ht="75" customHeight="1">
      <c r="R639" s="1"/>
      <c r="S639" s="1"/>
      <c r="AD639" s="1"/>
      <c r="AE639" s="1"/>
    </row>
    <row r="640" spans="18:31" ht="75" customHeight="1">
      <c r="R640" s="1"/>
      <c r="S640" s="1"/>
      <c r="AD640" s="1"/>
      <c r="AE640" s="1"/>
    </row>
    <row r="641" spans="18:31" ht="75" customHeight="1">
      <c r="R641" s="1"/>
      <c r="S641" s="1"/>
      <c r="AD641" s="1"/>
      <c r="AE641" s="1"/>
    </row>
    <row r="642" spans="18:31" ht="75" customHeight="1">
      <c r="R642" s="1"/>
      <c r="S642" s="1"/>
      <c r="AD642" s="1"/>
      <c r="AE642" s="1"/>
    </row>
    <row r="643" spans="18:31" ht="75" customHeight="1">
      <c r="R643" s="1"/>
      <c r="S643" s="1"/>
      <c r="AD643" s="1"/>
      <c r="AE643" s="1"/>
    </row>
    <row r="644" spans="18:31" ht="75" customHeight="1">
      <c r="R644" s="1"/>
      <c r="S644" s="1"/>
      <c r="AD644" s="1"/>
      <c r="AE644" s="1"/>
    </row>
    <row r="645" spans="18:31" ht="75" customHeight="1">
      <c r="R645" s="1"/>
      <c r="S645" s="1"/>
      <c r="AD645" s="1"/>
      <c r="AE645" s="1"/>
    </row>
    <row r="646" spans="18:31" ht="75" customHeight="1">
      <c r="R646" s="1"/>
      <c r="S646" s="1"/>
      <c r="AD646" s="1"/>
      <c r="AE646" s="1"/>
    </row>
    <row r="647" spans="18:31" ht="75" customHeight="1">
      <c r="R647" s="1"/>
      <c r="S647" s="1"/>
      <c r="AD647" s="1"/>
      <c r="AE647" s="1"/>
    </row>
    <row r="648" spans="18:31" ht="75" customHeight="1">
      <c r="R648" s="1"/>
      <c r="S648" s="1"/>
      <c r="AD648" s="1"/>
      <c r="AE648" s="1"/>
    </row>
    <row r="649" spans="18:31" ht="75" customHeight="1">
      <c r="R649" s="1"/>
      <c r="S649" s="1"/>
      <c r="AD649" s="1"/>
      <c r="AE649" s="1"/>
    </row>
    <row r="650" spans="18:31" ht="75" customHeight="1">
      <c r="R650" s="1"/>
      <c r="S650" s="1"/>
      <c r="AD650" s="1"/>
      <c r="AE650" s="1"/>
    </row>
    <row r="651" spans="18:31" ht="75" customHeight="1">
      <c r="R651" s="1"/>
      <c r="S651" s="1"/>
      <c r="AD651" s="1"/>
      <c r="AE651" s="1"/>
    </row>
    <row r="652" spans="18:31" ht="75" customHeight="1">
      <c r="R652" s="1"/>
      <c r="S652" s="1"/>
      <c r="AD652" s="1"/>
      <c r="AE652" s="1"/>
    </row>
    <row r="653" spans="18:31" ht="75" customHeight="1">
      <c r="R653" s="1"/>
      <c r="S653" s="1"/>
      <c r="AD653" s="1"/>
      <c r="AE653" s="1"/>
    </row>
    <row r="654" spans="18:31" ht="75" customHeight="1">
      <c r="R654" s="1"/>
      <c r="S654" s="1"/>
      <c r="AD654" s="1"/>
      <c r="AE654" s="1"/>
    </row>
    <row r="655" spans="18:31" ht="75" customHeight="1">
      <c r="R655" s="1"/>
      <c r="S655" s="1"/>
      <c r="AD655" s="1"/>
      <c r="AE655" s="1"/>
    </row>
    <row r="656" spans="18:31" ht="75" customHeight="1">
      <c r="R656" s="1"/>
      <c r="S656" s="1"/>
      <c r="AD656" s="1"/>
      <c r="AE656" s="1"/>
    </row>
    <row r="657" spans="18:31" ht="75" customHeight="1">
      <c r="R657" s="1"/>
      <c r="S657" s="1"/>
      <c r="AD657" s="1"/>
      <c r="AE657" s="1"/>
    </row>
    <row r="658" spans="18:31" ht="75" customHeight="1">
      <c r="R658" s="1"/>
      <c r="S658" s="1"/>
      <c r="AD658" s="1"/>
      <c r="AE658" s="1"/>
    </row>
    <row r="659" spans="18:31" ht="75" customHeight="1">
      <c r="R659" s="1"/>
      <c r="S659" s="1"/>
      <c r="AD659" s="1"/>
      <c r="AE659" s="1"/>
    </row>
    <row r="660" spans="18:31" ht="75" customHeight="1">
      <c r="R660" s="1"/>
      <c r="S660" s="1"/>
      <c r="AD660" s="1"/>
      <c r="AE660" s="1"/>
    </row>
    <row r="661" spans="18:31" ht="75" customHeight="1">
      <c r="R661" s="1"/>
      <c r="S661" s="1"/>
      <c r="AD661" s="1"/>
      <c r="AE661" s="1"/>
    </row>
    <row r="662" spans="18:31" ht="75" customHeight="1">
      <c r="R662" s="1"/>
      <c r="S662" s="1"/>
      <c r="AD662" s="1"/>
      <c r="AE662" s="1"/>
    </row>
    <row r="663" spans="18:31" ht="75" customHeight="1">
      <c r="R663" s="1"/>
      <c r="S663" s="1"/>
      <c r="AD663" s="1"/>
      <c r="AE663" s="1"/>
    </row>
    <row r="664" spans="18:31" ht="75" customHeight="1">
      <c r="R664" s="1"/>
      <c r="S664" s="1"/>
      <c r="AD664" s="1"/>
      <c r="AE664" s="1"/>
    </row>
    <row r="665" spans="18:31" ht="75" customHeight="1">
      <c r="R665" s="1"/>
      <c r="S665" s="1"/>
      <c r="AD665" s="1"/>
      <c r="AE665" s="1"/>
    </row>
    <row r="666" spans="18:31" ht="75" customHeight="1">
      <c r="R666" s="1"/>
      <c r="S666" s="1"/>
      <c r="AD666" s="1"/>
      <c r="AE666" s="1"/>
    </row>
    <row r="667" spans="18:31" ht="75" customHeight="1">
      <c r="R667" s="1"/>
      <c r="S667" s="1"/>
      <c r="AD667" s="1"/>
      <c r="AE667" s="1"/>
    </row>
    <row r="668" spans="18:31" ht="75" customHeight="1">
      <c r="R668" s="1"/>
      <c r="S668" s="1"/>
      <c r="AD668" s="1"/>
      <c r="AE668" s="1"/>
    </row>
    <row r="669" spans="18:31" ht="75" customHeight="1">
      <c r="R669" s="1"/>
      <c r="S669" s="1"/>
      <c r="AD669" s="1"/>
      <c r="AE669" s="1"/>
    </row>
    <row r="670" spans="18:31" ht="75" customHeight="1">
      <c r="R670" s="1"/>
      <c r="S670" s="1"/>
      <c r="AD670" s="1"/>
      <c r="AE670" s="1"/>
    </row>
    <row r="671" spans="18:31" ht="75" customHeight="1">
      <c r="R671" s="1"/>
      <c r="S671" s="1"/>
      <c r="AD671" s="1"/>
      <c r="AE671" s="1"/>
    </row>
    <row r="672" spans="18:31" ht="75" customHeight="1">
      <c r="R672" s="1"/>
      <c r="S672" s="1"/>
      <c r="AD672" s="1"/>
      <c r="AE672" s="1"/>
    </row>
    <row r="673" spans="18:31" ht="75" customHeight="1">
      <c r="R673" s="1"/>
      <c r="S673" s="1"/>
      <c r="AD673" s="1"/>
      <c r="AE673" s="1"/>
    </row>
    <row r="674" spans="18:31" ht="75" customHeight="1">
      <c r="R674" s="1"/>
      <c r="S674" s="1"/>
      <c r="AD674" s="1"/>
      <c r="AE674" s="1"/>
    </row>
    <row r="675" spans="18:31" ht="75" customHeight="1">
      <c r="R675" s="1"/>
      <c r="S675" s="1"/>
      <c r="AD675" s="1"/>
      <c r="AE675" s="1"/>
    </row>
    <row r="676" spans="18:31" ht="75" customHeight="1">
      <c r="R676" s="1"/>
      <c r="S676" s="1"/>
      <c r="AD676" s="1"/>
      <c r="AE676" s="1"/>
    </row>
    <row r="677" spans="18:31" ht="75" customHeight="1">
      <c r="R677" s="1"/>
      <c r="S677" s="1"/>
      <c r="AD677" s="1"/>
      <c r="AE677" s="1"/>
    </row>
    <row r="678" spans="18:31" ht="75" customHeight="1">
      <c r="R678" s="1"/>
      <c r="S678" s="1"/>
      <c r="AD678" s="1"/>
      <c r="AE678" s="1"/>
    </row>
    <row r="679" spans="18:31" ht="75" customHeight="1">
      <c r="R679" s="1"/>
      <c r="S679" s="1"/>
      <c r="AD679" s="1"/>
      <c r="AE679" s="1"/>
    </row>
    <row r="680" spans="18:31" ht="75" customHeight="1">
      <c r="R680" s="1"/>
      <c r="S680" s="1"/>
      <c r="AD680" s="1"/>
      <c r="AE680" s="1"/>
    </row>
    <row r="681" spans="18:31" ht="75" customHeight="1">
      <c r="R681" s="1"/>
      <c r="S681" s="1"/>
      <c r="AD681" s="1"/>
      <c r="AE681" s="1"/>
    </row>
    <row r="682" spans="18:31" ht="75" customHeight="1">
      <c r="R682" s="1"/>
      <c r="S682" s="1"/>
      <c r="AD682" s="1"/>
      <c r="AE682" s="1"/>
    </row>
    <row r="683" spans="18:31" ht="75" customHeight="1">
      <c r="R683" s="1"/>
      <c r="S683" s="1"/>
      <c r="AD683" s="1"/>
      <c r="AE683" s="1"/>
    </row>
    <row r="684" spans="18:31" ht="75" customHeight="1">
      <c r="R684" s="1"/>
      <c r="S684" s="1"/>
      <c r="AD684" s="1"/>
      <c r="AE684" s="1"/>
    </row>
    <row r="685" spans="18:31" ht="75" customHeight="1">
      <c r="R685" s="1"/>
      <c r="S685" s="1"/>
      <c r="AD685" s="1"/>
      <c r="AE685" s="1"/>
    </row>
    <row r="686" spans="18:31" ht="75" customHeight="1">
      <c r="R686" s="1"/>
      <c r="S686" s="1"/>
      <c r="AD686" s="1"/>
      <c r="AE686" s="1"/>
    </row>
    <row r="687" spans="18:31" ht="75" customHeight="1">
      <c r="R687" s="1"/>
      <c r="S687" s="1"/>
      <c r="AD687" s="1"/>
      <c r="AE687" s="1"/>
    </row>
    <row r="688" spans="18:31" ht="75" customHeight="1">
      <c r="R688" s="1"/>
      <c r="S688" s="1"/>
      <c r="AD688" s="1"/>
      <c r="AE688" s="1"/>
    </row>
    <row r="689" spans="18:31" ht="75" customHeight="1">
      <c r="R689" s="1"/>
      <c r="S689" s="1"/>
      <c r="AD689" s="1"/>
      <c r="AE689" s="1"/>
    </row>
    <row r="690" spans="18:31" ht="75" customHeight="1">
      <c r="R690" s="1"/>
      <c r="S690" s="1"/>
      <c r="AD690" s="1"/>
      <c r="AE690" s="1"/>
    </row>
    <row r="691" spans="18:31" ht="75" customHeight="1">
      <c r="R691" s="1"/>
      <c r="S691" s="1"/>
      <c r="AD691" s="1"/>
      <c r="AE691" s="1"/>
    </row>
    <row r="692" spans="18:31" ht="75" customHeight="1">
      <c r="R692" s="1"/>
      <c r="S692" s="1"/>
      <c r="AD692" s="1"/>
      <c r="AE692" s="1"/>
    </row>
    <row r="693" spans="18:31" ht="75" customHeight="1">
      <c r="R693" s="1"/>
      <c r="S693" s="1"/>
      <c r="AD693" s="1"/>
      <c r="AE693" s="1"/>
    </row>
    <row r="694" spans="18:31" ht="75" customHeight="1">
      <c r="R694" s="1"/>
      <c r="S694" s="1"/>
      <c r="AD694" s="1"/>
      <c r="AE694" s="1"/>
    </row>
    <row r="695" spans="18:31" ht="75" customHeight="1">
      <c r="R695" s="1"/>
      <c r="S695" s="1"/>
      <c r="AD695" s="1"/>
      <c r="AE695" s="1"/>
    </row>
    <row r="696" spans="18:31" ht="75" customHeight="1">
      <c r="R696" s="1"/>
      <c r="S696" s="1"/>
      <c r="AD696" s="1"/>
      <c r="AE696" s="1"/>
    </row>
    <row r="697" spans="18:31" ht="75" customHeight="1">
      <c r="R697" s="1"/>
      <c r="S697" s="1"/>
      <c r="AD697" s="1"/>
      <c r="AE697" s="1"/>
    </row>
    <row r="698" spans="18:31" ht="75" customHeight="1">
      <c r="R698" s="1"/>
      <c r="S698" s="1"/>
      <c r="AD698" s="1"/>
      <c r="AE698" s="1"/>
    </row>
    <row r="699" spans="18:31" ht="75" customHeight="1">
      <c r="R699" s="1"/>
      <c r="S699" s="1"/>
      <c r="AD699" s="1"/>
      <c r="AE699" s="1"/>
    </row>
    <row r="700" spans="18:31" ht="75" customHeight="1">
      <c r="R700" s="1"/>
      <c r="S700" s="1"/>
      <c r="AD700" s="1"/>
      <c r="AE700" s="1"/>
    </row>
    <row r="701" spans="18:31" ht="75" customHeight="1">
      <c r="R701" s="1"/>
      <c r="S701" s="1"/>
      <c r="AD701" s="1"/>
      <c r="AE701" s="1"/>
    </row>
    <row r="702" spans="18:31" ht="75" customHeight="1">
      <c r="R702" s="1"/>
      <c r="S702" s="1"/>
      <c r="AD702" s="1"/>
      <c r="AE702" s="1"/>
    </row>
    <row r="703" spans="18:31" ht="75" customHeight="1">
      <c r="R703" s="1"/>
      <c r="S703" s="1"/>
      <c r="AD703" s="1"/>
      <c r="AE703" s="1"/>
    </row>
    <row r="704" spans="18:31" ht="75" customHeight="1">
      <c r="R704" s="1"/>
      <c r="S704" s="1"/>
      <c r="AD704" s="1"/>
      <c r="AE704" s="1"/>
    </row>
    <row r="705" spans="18:31" ht="75" customHeight="1">
      <c r="R705" s="1"/>
      <c r="S705" s="1"/>
      <c r="AD705" s="1"/>
      <c r="AE705" s="1"/>
    </row>
    <row r="706" spans="18:31" ht="75" customHeight="1">
      <c r="R706" s="1"/>
      <c r="S706" s="1"/>
      <c r="AD706" s="1"/>
      <c r="AE706" s="1"/>
    </row>
    <row r="707" spans="18:31" ht="75" customHeight="1">
      <c r="R707" s="1"/>
      <c r="S707" s="1"/>
      <c r="AD707" s="1"/>
      <c r="AE707" s="1"/>
    </row>
    <row r="708" spans="18:31" ht="75" customHeight="1">
      <c r="R708" s="1"/>
      <c r="S708" s="1"/>
      <c r="AD708" s="1"/>
      <c r="AE708" s="1"/>
    </row>
    <row r="709" spans="18:31" ht="75" customHeight="1">
      <c r="R709" s="1"/>
      <c r="S709" s="1"/>
      <c r="AD709" s="1"/>
      <c r="AE709" s="1"/>
    </row>
    <row r="710" spans="18:31" ht="75" customHeight="1">
      <c r="R710" s="1"/>
      <c r="S710" s="1"/>
      <c r="AD710" s="1"/>
      <c r="AE710" s="1"/>
    </row>
    <row r="711" spans="18:31" ht="75" customHeight="1">
      <c r="R711" s="1"/>
      <c r="S711" s="1"/>
      <c r="AD711" s="1"/>
      <c r="AE711" s="1"/>
    </row>
    <row r="712" spans="18:31" ht="75" customHeight="1">
      <c r="R712" s="1"/>
      <c r="S712" s="1"/>
      <c r="AD712" s="1"/>
      <c r="AE712" s="1"/>
    </row>
    <row r="713" spans="18:31" ht="75" customHeight="1">
      <c r="R713" s="1"/>
      <c r="S713" s="1"/>
      <c r="AD713" s="1"/>
      <c r="AE713" s="1"/>
    </row>
    <row r="714" spans="18:31" ht="75" customHeight="1">
      <c r="R714" s="1"/>
      <c r="S714" s="1"/>
      <c r="AD714" s="1"/>
      <c r="AE714" s="1"/>
    </row>
    <row r="715" spans="18:31" ht="75" customHeight="1">
      <c r="R715" s="1"/>
      <c r="S715" s="1"/>
      <c r="AD715" s="1"/>
      <c r="AE715" s="1"/>
    </row>
    <row r="716" spans="18:31" ht="75" customHeight="1">
      <c r="R716" s="1"/>
      <c r="S716" s="1"/>
      <c r="AD716" s="1"/>
      <c r="AE716" s="1"/>
    </row>
    <row r="717" spans="18:31" ht="75" customHeight="1">
      <c r="R717" s="1"/>
      <c r="S717" s="1"/>
      <c r="AD717" s="1"/>
      <c r="AE717" s="1"/>
    </row>
    <row r="718" spans="18:31" ht="75" customHeight="1">
      <c r="R718" s="1"/>
      <c r="S718" s="1"/>
      <c r="AD718" s="1"/>
      <c r="AE718" s="1"/>
    </row>
    <row r="719" spans="18:31" ht="75" customHeight="1">
      <c r="R719" s="1"/>
      <c r="S719" s="1"/>
      <c r="AD719" s="1"/>
      <c r="AE719" s="1"/>
    </row>
    <row r="720" spans="18:31" ht="75" customHeight="1">
      <c r="R720" s="1"/>
      <c r="S720" s="1"/>
      <c r="AD720" s="1"/>
      <c r="AE720" s="1"/>
    </row>
    <row r="721" spans="18:31" ht="75" customHeight="1">
      <c r="R721" s="1"/>
      <c r="S721" s="1"/>
      <c r="AD721" s="1"/>
      <c r="AE721" s="1"/>
    </row>
    <row r="722" spans="18:31" ht="75" customHeight="1">
      <c r="R722" s="1"/>
      <c r="S722" s="1"/>
      <c r="AD722" s="1"/>
      <c r="AE722" s="1"/>
    </row>
    <row r="723" spans="18:31" ht="75" customHeight="1">
      <c r="R723" s="1"/>
      <c r="S723" s="1"/>
      <c r="AD723" s="1"/>
      <c r="AE723" s="1"/>
    </row>
    <row r="724" spans="18:31" ht="75" customHeight="1">
      <c r="R724" s="1"/>
      <c r="S724" s="1"/>
      <c r="AD724" s="1"/>
      <c r="AE724" s="1"/>
    </row>
    <row r="725" spans="18:31" ht="75" customHeight="1">
      <c r="R725" s="1"/>
      <c r="S725" s="1"/>
      <c r="AD725" s="1"/>
      <c r="AE725" s="1"/>
    </row>
    <row r="726" spans="18:31" ht="75" customHeight="1">
      <c r="R726" s="1"/>
      <c r="S726" s="1"/>
      <c r="AD726" s="1"/>
      <c r="AE726" s="1"/>
    </row>
    <row r="727" spans="18:31" ht="75" customHeight="1">
      <c r="R727" s="1"/>
      <c r="S727" s="1"/>
      <c r="AD727" s="1"/>
      <c r="AE727" s="1"/>
    </row>
    <row r="728" spans="18:31" ht="75" customHeight="1">
      <c r="R728" s="1"/>
      <c r="S728" s="1"/>
      <c r="AD728" s="1"/>
      <c r="AE728" s="1"/>
    </row>
    <row r="729" spans="18:31" ht="75" customHeight="1">
      <c r="R729" s="1"/>
      <c r="S729" s="1"/>
      <c r="AD729" s="1"/>
      <c r="AE729" s="1"/>
    </row>
    <row r="730" spans="18:31" ht="75" customHeight="1">
      <c r="R730" s="1"/>
      <c r="S730" s="1"/>
      <c r="AD730" s="1"/>
      <c r="AE730" s="1"/>
    </row>
    <row r="731" spans="18:31" ht="75" customHeight="1">
      <c r="R731" s="1"/>
      <c r="S731" s="1"/>
      <c r="AD731" s="1"/>
      <c r="AE731" s="1"/>
    </row>
    <row r="732" spans="18:31" ht="75" customHeight="1">
      <c r="R732" s="1"/>
      <c r="S732" s="1"/>
      <c r="AD732" s="1"/>
      <c r="AE732" s="1"/>
    </row>
    <row r="733" spans="18:31" ht="75" customHeight="1">
      <c r="R733" s="1"/>
      <c r="S733" s="1"/>
      <c r="AD733" s="1"/>
      <c r="AE733" s="1"/>
    </row>
    <row r="734" spans="18:31" ht="75" customHeight="1">
      <c r="R734" s="1"/>
      <c r="S734" s="1"/>
      <c r="AD734" s="1"/>
      <c r="AE734" s="1"/>
    </row>
    <row r="735" spans="18:31" ht="75" customHeight="1">
      <c r="R735" s="1"/>
      <c r="S735" s="1"/>
      <c r="AD735" s="1"/>
      <c r="AE735" s="1"/>
    </row>
    <row r="736" spans="18:31" ht="75" customHeight="1">
      <c r="R736" s="1"/>
      <c r="S736" s="1"/>
      <c r="AD736" s="1"/>
      <c r="AE736" s="1"/>
    </row>
    <row r="737" spans="18:31" ht="75" customHeight="1">
      <c r="R737" s="1"/>
      <c r="S737" s="1"/>
      <c r="AD737" s="1"/>
      <c r="AE737" s="1"/>
    </row>
    <row r="738" spans="18:31" ht="75" customHeight="1">
      <c r="R738" s="1"/>
      <c r="S738" s="1"/>
      <c r="AD738" s="1"/>
      <c r="AE738" s="1"/>
    </row>
    <row r="739" spans="18:31" ht="75" customHeight="1">
      <c r="R739" s="1"/>
      <c r="S739" s="1"/>
      <c r="AD739" s="1"/>
      <c r="AE739" s="1"/>
    </row>
    <row r="740" spans="18:31" ht="75" customHeight="1">
      <c r="R740" s="1"/>
      <c r="S740" s="1"/>
      <c r="AD740" s="1"/>
      <c r="AE740" s="1"/>
    </row>
    <row r="741" spans="18:31" ht="75" customHeight="1">
      <c r="R741" s="1"/>
      <c r="S741" s="1"/>
      <c r="AD741" s="1"/>
      <c r="AE741" s="1"/>
    </row>
    <row r="742" spans="18:31" ht="75" customHeight="1">
      <c r="R742" s="1"/>
      <c r="S742" s="1"/>
      <c r="AD742" s="1"/>
      <c r="AE742" s="1"/>
    </row>
    <row r="743" spans="18:31" ht="75" customHeight="1">
      <c r="R743" s="1"/>
      <c r="S743" s="1"/>
      <c r="AD743" s="1"/>
      <c r="AE743" s="1"/>
    </row>
    <row r="744" spans="18:31" ht="75" customHeight="1">
      <c r="R744" s="1"/>
      <c r="S744" s="1"/>
      <c r="AD744" s="1"/>
      <c r="AE744" s="1"/>
    </row>
    <row r="745" spans="18:31" ht="75" customHeight="1">
      <c r="R745" s="1"/>
      <c r="S745" s="1"/>
      <c r="AD745" s="1"/>
      <c r="AE745" s="1"/>
    </row>
    <row r="746" spans="18:31" ht="75" customHeight="1">
      <c r="R746" s="1"/>
      <c r="S746" s="1"/>
      <c r="AD746" s="1"/>
      <c r="AE746" s="1"/>
    </row>
    <row r="747" spans="18:31" ht="75" customHeight="1">
      <c r="R747" s="1"/>
      <c r="S747" s="1"/>
      <c r="AD747" s="1"/>
      <c r="AE747" s="1"/>
    </row>
    <row r="748" spans="18:31" ht="75" customHeight="1">
      <c r="R748" s="1"/>
      <c r="S748" s="1"/>
      <c r="AD748" s="1"/>
      <c r="AE748" s="1"/>
    </row>
    <row r="749" spans="18:31" ht="75" customHeight="1">
      <c r="R749" s="1"/>
      <c r="S749" s="1"/>
      <c r="AD749" s="1"/>
      <c r="AE749" s="1"/>
    </row>
    <row r="750" spans="18:31" ht="75" customHeight="1">
      <c r="R750" s="1"/>
      <c r="S750" s="1"/>
      <c r="AD750" s="1"/>
      <c r="AE750" s="1"/>
    </row>
    <row r="751" spans="18:31" ht="75" customHeight="1">
      <c r="R751" s="1"/>
      <c r="S751" s="1"/>
      <c r="AD751" s="1"/>
      <c r="AE751" s="1"/>
    </row>
    <row r="752" spans="18:31" ht="75" customHeight="1">
      <c r="R752" s="1"/>
      <c r="S752" s="1"/>
      <c r="AD752" s="1"/>
      <c r="AE752" s="1"/>
    </row>
    <row r="753" spans="18:31" ht="75" customHeight="1">
      <c r="R753" s="1"/>
      <c r="S753" s="1"/>
      <c r="AD753" s="1"/>
      <c r="AE753" s="1"/>
    </row>
    <row r="754" spans="18:31" ht="75" customHeight="1">
      <c r="R754" s="1"/>
      <c r="S754" s="1"/>
      <c r="AD754" s="1"/>
      <c r="AE754" s="1"/>
    </row>
    <row r="755" spans="18:31" ht="75" customHeight="1">
      <c r="R755" s="1"/>
      <c r="S755" s="1"/>
      <c r="AD755" s="1"/>
      <c r="AE755" s="1"/>
    </row>
    <row r="756" spans="18:31" ht="75" customHeight="1">
      <c r="R756" s="1"/>
      <c r="S756" s="1"/>
      <c r="AD756" s="1"/>
      <c r="AE756" s="1"/>
    </row>
    <row r="757" spans="18:31" ht="75" customHeight="1">
      <c r="R757" s="1"/>
      <c r="S757" s="1"/>
      <c r="AD757" s="1"/>
      <c r="AE757" s="1"/>
    </row>
    <row r="758" spans="18:31" ht="75" customHeight="1">
      <c r="R758" s="1"/>
      <c r="S758" s="1"/>
      <c r="AD758" s="1"/>
      <c r="AE758" s="1"/>
    </row>
    <row r="759" spans="18:31" ht="75" customHeight="1">
      <c r="R759" s="1"/>
      <c r="S759" s="1"/>
      <c r="AD759" s="1"/>
      <c r="AE759" s="1"/>
    </row>
    <row r="760" spans="18:31" ht="75" customHeight="1">
      <c r="R760" s="1"/>
      <c r="S760" s="1"/>
      <c r="AD760" s="1"/>
      <c r="AE760" s="1"/>
    </row>
    <row r="761" spans="18:31" ht="75" customHeight="1">
      <c r="R761" s="1"/>
      <c r="S761" s="1"/>
      <c r="AD761" s="1"/>
      <c r="AE761" s="1"/>
    </row>
    <row r="762" spans="18:31" ht="75" customHeight="1">
      <c r="R762" s="1"/>
      <c r="S762" s="1"/>
      <c r="AD762" s="1"/>
      <c r="AE762" s="1"/>
    </row>
    <row r="763" spans="18:31" ht="75" customHeight="1">
      <c r="R763" s="1"/>
      <c r="S763" s="1"/>
      <c r="AD763" s="1"/>
      <c r="AE763" s="1"/>
    </row>
    <row r="764" spans="18:31" ht="75" customHeight="1">
      <c r="R764" s="1"/>
      <c r="S764" s="1"/>
      <c r="AD764" s="1"/>
      <c r="AE764" s="1"/>
    </row>
    <row r="765" spans="18:31" ht="75" customHeight="1">
      <c r="R765" s="1"/>
      <c r="S765" s="1"/>
      <c r="AD765" s="1"/>
      <c r="AE765" s="1"/>
    </row>
    <row r="766" spans="18:31" ht="75" customHeight="1">
      <c r="R766" s="1"/>
      <c r="S766" s="1"/>
      <c r="AD766" s="1"/>
      <c r="AE766" s="1"/>
    </row>
    <row r="767" spans="18:31" ht="75" customHeight="1">
      <c r="R767" s="1"/>
      <c r="S767" s="1"/>
      <c r="AD767" s="1"/>
      <c r="AE767" s="1"/>
    </row>
    <row r="768" spans="18:31" ht="75" customHeight="1">
      <c r="R768" s="1"/>
      <c r="S768" s="1"/>
      <c r="AD768" s="1"/>
      <c r="AE768" s="1"/>
    </row>
    <row r="769" spans="18:31" ht="75" customHeight="1">
      <c r="R769" s="1"/>
      <c r="S769" s="1"/>
      <c r="AD769" s="1"/>
      <c r="AE769" s="1"/>
    </row>
    <row r="770" spans="18:31" ht="75" customHeight="1">
      <c r="R770" s="1"/>
      <c r="S770" s="1"/>
      <c r="AD770" s="1"/>
      <c r="AE770" s="1"/>
    </row>
    <row r="771" spans="18:31" ht="75" customHeight="1">
      <c r="R771" s="1"/>
      <c r="S771" s="1"/>
      <c r="AD771" s="1"/>
      <c r="AE771" s="1"/>
    </row>
    <row r="772" spans="18:31" ht="75" customHeight="1">
      <c r="R772" s="1"/>
      <c r="S772" s="1"/>
      <c r="AD772" s="1"/>
      <c r="AE772" s="1"/>
    </row>
    <row r="773" spans="18:31" ht="75" customHeight="1">
      <c r="R773" s="1"/>
      <c r="S773" s="1"/>
      <c r="AD773" s="1"/>
      <c r="AE773" s="1"/>
    </row>
    <row r="774" spans="18:31" ht="75" customHeight="1">
      <c r="R774" s="1"/>
      <c r="S774" s="1"/>
      <c r="AD774" s="1"/>
      <c r="AE774" s="1"/>
    </row>
    <row r="775" spans="18:31" ht="75" customHeight="1">
      <c r="R775" s="1"/>
      <c r="S775" s="1"/>
      <c r="AD775" s="1"/>
      <c r="AE775" s="1"/>
    </row>
    <row r="776" spans="18:31" ht="75" customHeight="1">
      <c r="R776" s="1"/>
      <c r="S776" s="1"/>
      <c r="AD776" s="1"/>
      <c r="AE776" s="1"/>
    </row>
    <row r="777" spans="18:31" ht="75" customHeight="1">
      <c r="R777" s="1"/>
      <c r="S777" s="1"/>
      <c r="AD777" s="1"/>
      <c r="AE777" s="1"/>
    </row>
    <row r="778" spans="18:31" ht="75" customHeight="1">
      <c r="R778" s="1"/>
      <c r="S778" s="1"/>
      <c r="AD778" s="1"/>
      <c r="AE778" s="1"/>
    </row>
    <row r="779" spans="18:31" ht="75" customHeight="1">
      <c r="R779" s="1"/>
      <c r="S779" s="1"/>
      <c r="AD779" s="1"/>
      <c r="AE779" s="1"/>
    </row>
    <row r="780" spans="18:31" ht="75" customHeight="1">
      <c r="R780" s="1"/>
      <c r="S780" s="1"/>
      <c r="AD780" s="1"/>
      <c r="AE780" s="1"/>
    </row>
    <row r="781" spans="18:31" ht="75" customHeight="1">
      <c r="R781" s="1"/>
      <c r="S781" s="1"/>
      <c r="AD781" s="1"/>
      <c r="AE781" s="1"/>
    </row>
    <row r="782" spans="18:31" ht="75" customHeight="1">
      <c r="R782" s="1"/>
      <c r="S782" s="1"/>
      <c r="AD782" s="1"/>
      <c r="AE782" s="1"/>
    </row>
    <row r="783" spans="18:31" ht="75" customHeight="1">
      <c r="R783" s="1"/>
      <c r="S783" s="1"/>
      <c r="AD783" s="1"/>
      <c r="AE783" s="1"/>
    </row>
    <row r="784" spans="18:31" ht="75" customHeight="1">
      <c r="R784" s="1"/>
      <c r="S784" s="1"/>
      <c r="AD784" s="1"/>
      <c r="AE784" s="1"/>
    </row>
    <row r="785" spans="18:31" ht="75" customHeight="1">
      <c r="R785" s="1"/>
      <c r="S785" s="1"/>
      <c r="AD785" s="1"/>
      <c r="AE785" s="1"/>
    </row>
    <row r="786" spans="18:31" ht="75" customHeight="1">
      <c r="R786" s="1"/>
      <c r="S786" s="1"/>
      <c r="AD786" s="1"/>
      <c r="AE786" s="1"/>
    </row>
    <row r="787" spans="18:31" ht="75" customHeight="1">
      <c r="R787" s="1"/>
      <c r="S787" s="1"/>
      <c r="AD787" s="1"/>
      <c r="AE787" s="1"/>
    </row>
    <row r="788" spans="18:31" ht="75" customHeight="1">
      <c r="R788" s="1"/>
      <c r="S788" s="1"/>
      <c r="AD788" s="1"/>
      <c r="AE788" s="1"/>
    </row>
    <row r="789" spans="18:31" ht="75" customHeight="1">
      <c r="R789" s="1"/>
      <c r="S789" s="1"/>
      <c r="AD789" s="1"/>
      <c r="AE789" s="1"/>
    </row>
    <row r="790" spans="18:31" ht="75" customHeight="1">
      <c r="R790" s="1"/>
      <c r="S790" s="1"/>
      <c r="AD790" s="1"/>
      <c r="AE790" s="1"/>
    </row>
    <row r="791" spans="18:31" ht="75" customHeight="1">
      <c r="R791" s="1"/>
      <c r="S791" s="1"/>
      <c r="AD791" s="1"/>
      <c r="AE791" s="1"/>
    </row>
    <row r="792" spans="18:31" ht="75" customHeight="1">
      <c r="R792" s="1"/>
      <c r="S792" s="1"/>
      <c r="AD792" s="1"/>
      <c r="AE792" s="1"/>
    </row>
    <row r="793" spans="18:31" ht="75" customHeight="1">
      <c r="R793" s="1"/>
      <c r="S793" s="1"/>
      <c r="AD793" s="1"/>
      <c r="AE793" s="1"/>
    </row>
    <row r="794" spans="18:31" ht="75" customHeight="1">
      <c r="R794" s="1"/>
      <c r="S794" s="1"/>
      <c r="AD794" s="1"/>
      <c r="AE794" s="1"/>
    </row>
    <row r="795" spans="18:31" ht="75" customHeight="1">
      <c r="R795" s="1"/>
      <c r="S795" s="1"/>
      <c r="AD795" s="1"/>
      <c r="AE795" s="1"/>
    </row>
    <row r="796" spans="18:31" ht="75" customHeight="1">
      <c r="R796" s="1"/>
      <c r="S796" s="1"/>
      <c r="AD796" s="1"/>
      <c r="AE796" s="1"/>
    </row>
    <row r="797" spans="18:31" ht="75" customHeight="1">
      <c r="R797" s="1"/>
      <c r="S797" s="1"/>
      <c r="AD797" s="1"/>
      <c r="AE797" s="1"/>
    </row>
    <row r="798" spans="18:31" ht="75" customHeight="1">
      <c r="R798" s="1"/>
      <c r="S798" s="1"/>
      <c r="AD798" s="1"/>
      <c r="AE798" s="1"/>
    </row>
    <row r="799" spans="18:31" ht="75" customHeight="1">
      <c r="R799" s="1"/>
      <c r="S799" s="1"/>
      <c r="AD799" s="1"/>
      <c r="AE799" s="1"/>
    </row>
    <row r="800" spans="18:31" ht="75" customHeight="1">
      <c r="R800" s="1"/>
      <c r="S800" s="1"/>
      <c r="AD800" s="1"/>
      <c r="AE800" s="1"/>
    </row>
    <row r="801" spans="18:31" ht="75" customHeight="1">
      <c r="R801" s="1"/>
      <c r="S801" s="1"/>
      <c r="AD801" s="1"/>
      <c r="AE801" s="1"/>
    </row>
    <row r="802" spans="18:31" ht="75" customHeight="1">
      <c r="R802" s="1"/>
      <c r="S802" s="1"/>
      <c r="AD802" s="1"/>
      <c r="AE802" s="1"/>
    </row>
    <row r="803" spans="18:31" ht="75" customHeight="1">
      <c r="R803" s="1"/>
      <c r="S803" s="1"/>
      <c r="AD803" s="1"/>
      <c r="AE803" s="1"/>
    </row>
    <row r="804" spans="18:31" ht="75" customHeight="1">
      <c r="R804" s="1"/>
      <c r="S804" s="1"/>
      <c r="AD804" s="1"/>
      <c r="AE804" s="1"/>
    </row>
    <row r="805" spans="18:31" ht="75" customHeight="1">
      <c r="R805" s="1"/>
      <c r="S805" s="1"/>
      <c r="AD805" s="1"/>
      <c r="AE805" s="1"/>
    </row>
    <row r="806" spans="18:31" ht="75" customHeight="1">
      <c r="R806" s="1"/>
      <c r="S806" s="1"/>
      <c r="AD806" s="1"/>
      <c r="AE806" s="1"/>
    </row>
    <row r="807" spans="18:31" ht="75" customHeight="1">
      <c r="R807" s="1"/>
      <c r="S807" s="1"/>
      <c r="AD807" s="1"/>
      <c r="AE807" s="1"/>
    </row>
    <row r="808" spans="18:31" ht="75" customHeight="1">
      <c r="R808" s="1"/>
      <c r="S808" s="1"/>
      <c r="AD808" s="1"/>
      <c r="AE808" s="1"/>
    </row>
    <row r="809" spans="18:31" ht="75" customHeight="1">
      <c r="R809" s="1"/>
      <c r="S809" s="1"/>
      <c r="AD809" s="1"/>
      <c r="AE809" s="1"/>
    </row>
    <row r="810" spans="18:31" ht="75" customHeight="1">
      <c r="R810" s="1"/>
      <c r="S810" s="1"/>
      <c r="AD810" s="1"/>
      <c r="AE810" s="1"/>
    </row>
    <row r="811" spans="18:31" ht="75" customHeight="1">
      <c r="R811" s="1"/>
      <c r="S811" s="1"/>
      <c r="AD811" s="1"/>
      <c r="AE811" s="1"/>
    </row>
    <row r="812" spans="18:31" ht="75" customHeight="1">
      <c r="R812" s="1"/>
      <c r="S812" s="1"/>
      <c r="AD812" s="1"/>
      <c r="AE812" s="1"/>
    </row>
    <row r="813" spans="18:31" ht="75" customHeight="1">
      <c r="R813" s="1"/>
      <c r="S813" s="1"/>
      <c r="AD813" s="1"/>
      <c r="AE813" s="1"/>
    </row>
    <row r="814" spans="18:31" ht="75" customHeight="1">
      <c r="R814" s="1"/>
      <c r="S814" s="1"/>
      <c r="AD814" s="1"/>
      <c r="AE814" s="1"/>
    </row>
    <row r="815" spans="18:31" ht="75" customHeight="1">
      <c r="R815" s="1"/>
      <c r="S815" s="1"/>
      <c r="AD815" s="1"/>
      <c r="AE815" s="1"/>
    </row>
    <row r="816" spans="18:31" ht="75" customHeight="1">
      <c r="R816" s="1"/>
      <c r="S816" s="1"/>
      <c r="AD816" s="1"/>
      <c r="AE816" s="1"/>
    </row>
    <row r="817" spans="18:31" ht="75" customHeight="1">
      <c r="R817" s="1"/>
      <c r="S817" s="1"/>
      <c r="AD817" s="1"/>
      <c r="AE817" s="1"/>
    </row>
    <row r="818" spans="18:31" ht="75" customHeight="1">
      <c r="R818" s="1"/>
      <c r="S818" s="1"/>
      <c r="AD818" s="1"/>
      <c r="AE818" s="1"/>
    </row>
    <row r="819" spans="18:31" ht="75" customHeight="1">
      <c r="R819" s="1"/>
      <c r="S819" s="1"/>
      <c r="AD819" s="1"/>
      <c r="AE819" s="1"/>
    </row>
    <row r="820" spans="18:31" ht="75" customHeight="1">
      <c r="R820" s="1"/>
      <c r="S820" s="1"/>
      <c r="AD820" s="1"/>
      <c r="AE820" s="1"/>
    </row>
    <row r="821" spans="18:31" ht="75" customHeight="1">
      <c r="R821" s="1"/>
      <c r="S821" s="1"/>
      <c r="AD821" s="1"/>
      <c r="AE821" s="1"/>
    </row>
    <row r="822" spans="18:31" ht="75" customHeight="1">
      <c r="R822" s="1"/>
      <c r="S822" s="1"/>
      <c r="AD822" s="1"/>
      <c r="AE822" s="1"/>
    </row>
    <row r="823" spans="18:31" ht="75" customHeight="1">
      <c r="R823" s="1"/>
      <c r="S823" s="1"/>
      <c r="AD823" s="1"/>
      <c r="AE823" s="1"/>
    </row>
    <row r="824" spans="18:31" ht="75" customHeight="1">
      <c r="R824" s="1"/>
      <c r="S824" s="1"/>
      <c r="AD824" s="1"/>
      <c r="AE824" s="1"/>
    </row>
    <row r="825" spans="18:31" ht="75" customHeight="1">
      <c r="R825" s="1"/>
      <c r="S825" s="1"/>
      <c r="AD825" s="1"/>
      <c r="AE825" s="1"/>
    </row>
    <row r="826" spans="18:31" ht="75" customHeight="1">
      <c r="R826" s="1"/>
      <c r="S826" s="1"/>
      <c r="AD826" s="1"/>
      <c r="AE826" s="1"/>
    </row>
    <row r="827" spans="18:31" ht="75" customHeight="1">
      <c r="R827" s="1"/>
      <c r="S827" s="1"/>
      <c r="AD827" s="1"/>
      <c r="AE827" s="1"/>
    </row>
    <row r="828" spans="18:31" ht="75" customHeight="1">
      <c r="R828" s="1"/>
      <c r="S828" s="1"/>
      <c r="AD828" s="1"/>
      <c r="AE828" s="1"/>
    </row>
    <row r="829" spans="18:31" ht="75" customHeight="1">
      <c r="R829" s="1"/>
      <c r="S829" s="1"/>
      <c r="AD829" s="1"/>
      <c r="AE829" s="1"/>
    </row>
    <row r="830" spans="18:31" ht="75" customHeight="1">
      <c r="R830" s="1"/>
      <c r="S830" s="1"/>
      <c r="AD830" s="1"/>
      <c r="AE830" s="1"/>
    </row>
    <row r="831" spans="18:31" ht="75" customHeight="1">
      <c r="R831" s="1"/>
      <c r="S831" s="1"/>
      <c r="AD831" s="1"/>
      <c r="AE831" s="1"/>
    </row>
    <row r="832" spans="18:31" ht="75" customHeight="1">
      <c r="R832" s="1"/>
      <c r="S832" s="1"/>
      <c r="AD832" s="1"/>
      <c r="AE832" s="1"/>
    </row>
    <row r="833" spans="18:31" ht="75" customHeight="1">
      <c r="R833" s="1"/>
      <c r="S833" s="1"/>
      <c r="AD833" s="1"/>
      <c r="AE833" s="1"/>
    </row>
    <row r="834" spans="18:31" ht="75" customHeight="1">
      <c r="R834" s="1"/>
      <c r="S834" s="1"/>
      <c r="AD834" s="1"/>
      <c r="AE834" s="1"/>
    </row>
    <row r="835" spans="18:31" ht="75" customHeight="1">
      <c r="R835" s="1"/>
      <c r="S835" s="1"/>
      <c r="AD835" s="1"/>
      <c r="AE835" s="1"/>
    </row>
    <row r="836" spans="18:31" ht="75" customHeight="1">
      <c r="R836" s="1"/>
      <c r="S836" s="1"/>
      <c r="AD836" s="1"/>
      <c r="AE836" s="1"/>
    </row>
    <row r="837" spans="18:31" ht="75" customHeight="1">
      <c r="R837" s="1"/>
      <c r="S837" s="1"/>
      <c r="AD837" s="1"/>
      <c r="AE837" s="1"/>
    </row>
    <row r="838" spans="18:31" ht="75" customHeight="1">
      <c r="R838" s="1"/>
      <c r="S838" s="1"/>
      <c r="AD838" s="1"/>
      <c r="AE838" s="1"/>
    </row>
    <row r="839" spans="18:31" ht="75" customHeight="1">
      <c r="R839" s="1"/>
      <c r="S839" s="1"/>
      <c r="AD839" s="1"/>
      <c r="AE839" s="1"/>
    </row>
    <row r="840" spans="18:31" ht="75" customHeight="1">
      <c r="R840" s="1"/>
      <c r="S840" s="1"/>
      <c r="AD840" s="1"/>
      <c r="AE840" s="1"/>
    </row>
    <row r="841" spans="18:31" ht="75" customHeight="1">
      <c r="R841" s="1"/>
      <c r="S841" s="1"/>
      <c r="AD841" s="1"/>
      <c r="AE841" s="1"/>
    </row>
    <row r="842" spans="18:31" ht="75" customHeight="1">
      <c r="R842" s="1"/>
      <c r="S842" s="1"/>
      <c r="AD842" s="1"/>
      <c r="AE842" s="1"/>
    </row>
    <row r="843" spans="18:31" ht="75" customHeight="1">
      <c r="R843" s="1"/>
      <c r="S843" s="1"/>
      <c r="AD843" s="1"/>
      <c r="AE843" s="1"/>
    </row>
    <row r="844" spans="18:31" ht="75" customHeight="1">
      <c r="R844" s="1"/>
      <c r="S844" s="1"/>
      <c r="AD844" s="1"/>
      <c r="AE844" s="1"/>
    </row>
    <row r="845" spans="18:31" ht="75" customHeight="1">
      <c r="R845" s="1"/>
      <c r="S845" s="1"/>
      <c r="AD845" s="1"/>
      <c r="AE845" s="1"/>
    </row>
    <row r="846" spans="18:31" ht="75" customHeight="1">
      <c r="R846" s="1"/>
      <c r="S846" s="1"/>
      <c r="AD846" s="1"/>
      <c r="AE846" s="1"/>
    </row>
    <row r="847" spans="18:31" ht="75" customHeight="1">
      <c r="R847" s="1"/>
      <c r="S847" s="1"/>
      <c r="AD847" s="1"/>
      <c r="AE847" s="1"/>
    </row>
    <row r="848" spans="18:31" ht="75" customHeight="1">
      <c r="R848" s="1"/>
      <c r="S848" s="1"/>
      <c r="AD848" s="1"/>
      <c r="AE848" s="1"/>
    </row>
    <row r="849" spans="18:31" ht="75" customHeight="1">
      <c r="R849" s="1"/>
      <c r="S849" s="1"/>
      <c r="AD849" s="1"/>
      <c r="AE849" s="1"/>
    </row>
    <row r="850" spans="18:31" ht="75" customHeight="1">
      <c r="R850" s="1"/>
      <c r="S850" s="1"/>
      <c r="AD850" s="1"/>
      <c r="AE850" s="1"/>
    </row>
    <row r="851" spans="18:31" ht="75" customHeight="1">
      <c r="R851" s="1"/>
      <c r="S851" s="1"/>
      <c r="AD851" s="1"/>
      <c r="AE851" s="1"/>
    </row>
    <row r="852" spans="18:31" ht="75" customHeight="1">
      <c r="R852" s="1"/>
      <c r="S852" s="1"/>
      <c r="AD852" s="1"/>
      <c r="AE852" s="1"/>
    </row>
    <row r="853" spans="18:31" ht="75" customHeight="1">
      <c r="R853" s="1"/>
      <c r="S853" s="1"/>
      <c r="AD853" s="1"/>
      <c r="AE853" s="1"/>
    </row>
    <row r="854" spans="18:31" ht="75" customHeight="1">
      <c r="R854" s="1"/>
      <c r="S854" s="1"/>
      <c r="AD854" s="1"/>
      <c r="AE854" s="1"/>
    </row>
    <row r="855" spans="18:31" ht="75" customHeight="1">
      <c r="R855" s="1"/>
      <c r="S855" s="1"/>
      <c r="AD855" s="1"/>
      <c r="AE855" s="1"/>
    </row>
    <row r="856" spans="18:31" ht="75" customHeight="1">
      <c r="R856" s="1"/>
      <c r="S856" s="1"/>
      <c r="AD856" s="1"/>
      <c r="AE856" s="1"/>
    </row>
    <row r="857" spans="18:31" ht="75" customHeight="1">
      <c r="R857" s="1"/>
      <c r="S857" s="1"/>
      <c r="AD857" s="1"/>
      <c r="AE857" s="1"/>
    </row>
    <row r="858" spans="18:31" ht="75" customHeight="1">
      <c r="R858" s="1"/>
      <c r="S858" s="1"/>
      <c r="AD858" s="1"/>
      <c r="AE858" s="1"/>
    </row>
    <row r="859" spans="18:31" ht="75" customHeight="1">
      <c r="R859" s="1"/>
      <c r="S859" s="1"/>
      <c r="AD859" s="1"/>
      <c r="AE859" s="1"/>
    </row>
    <row r="860" spans="18:31" ht="75" customHeight="1">
      <c r="R860" s="1"/>
      <c r="S860" s="1"/>
      <c r="AD860" s="1"/>
      <c r="AE860" s="1"/>
    </row>
    <row r="861" spans="18:31" ht="75" customHeight="1">
      <c r="R861" s="1"/>
      <c r="S861" s="1"/>
      <c r="AD861" s="1"/>
      <c r="AE861" s="1"/>
    </row>
    <row r="862" spans="18:31" ht="75" customHeight="1">
      <c r="R862" s="1"/>
      <c r="S862" s="1"/>
      <c r="AD862" s="1"/>
      <c r="AE862" s="1"/>
    </row>
    <row r="863" spans="18:31" ht="75" customHeight="1">
      <c r="R863" s="1"/>
      <c r="S863" s="1"/>
      <c r="AD863" s="1"/>
      <c r="AE863" s="1"/>
    </row>
    <row r="864" spans="18:31" ht="75" customHeight="1">
      <c r="R864" s="1"/>
      <c r="S864" s="1"/>
      <c r="AD864" s="1"/>
      <c r="AE864" s="1"/>
    </row>
    <row r="865" spans="18:31" ht="75" customHeight="1">
      <c r="R865" s="1"/>
      <c r="S865" s="1"/>
      <c r="AD865" s="1"/>
      <c r="AE865" s="1"/>
    </row>
    <row r="866" spans="18:31" ht="75" customHeight="1">
      <c r="R866" s="1"/>
      <c r="S866" s="1"/>
      <c r="AD866" s="1"/>
      <c r="AE866" s="1"/>
    </row>
    <row r="867" spans="18:31" ht="75" customHeight="1">
      <c r="R867" s="1"/>
      <c r="S867" s="1"/>
      <c r="AD867" s="1"/>
      <c r="AE867" s="1"/>
    </row>
    <row r="868" spans="18:31" ht="75" customHeight="1">
      <c r="R868" s="1"/>
      <c r="S868" s="1"/>
      <c r="AD868" s="1"/>
      <c r="AE868" s="1"/>
    </row>
    <row r="869" spans="18:31" ht="75" customHeight="1">
      <c r="R869" s="1"/>
      <c r="S869" s="1"/>
      <c r="AD869" s="1"/>
      <c r="AE869" s="1"/>
    </row>
    <row r="870" spans="18:31" ht="75" customHeight="1">
      <c r="R870" s="1"/>
      <c r="S870" s="1"/>
      <c r="AD870" s="1"/>
      <c r="AE870" s="1"/>
    </row>
    <row r="871" spans="18:31" ht="75" customHeight="1">
      <c r="R871" s="1"/>
      <c r="S871" s="1"/>
      <c r="AD871" s="1"/>
      <c r="AE871" s="1"/>
    </row>
    <row r="872" spans="18:31" ht="75" customHeight="1">
      <c r="R872" s="1"/>
      <c r="S872" s="1"/>
      <c r="AD872" s="1"/>
      <c r="AE872" s="1"/>
    </row>
    <row r="873" spans="18:31" ht="75" customHeight="1">
      <c r="R873" s="1"/>
      <c r="S873" s="1"/>
      <c r="AD873" s="1"/>
      <c r="AE873" s="1"/>
    </row>
    <row r="874" spans="18:31" ht="75" customHeight="1">
      <c r="R874" s="1"/>
      <c r="S874" s="1"/>
      <c r="AD874" s="1"/>
      <c r="AE874" s="1"/>
    </row>
    <row r="875" spans="18:31" ht="75" customHeight="1">
      <c r="R875" s="1"/>
      <c r="S875" s="1"/>
      <c r="AD875" s="1"/>
      <c r="AE875" s="1"/>
    </row>
    <row r="876" spans="18:31" ht="75" customHeight="1">
      <c r="R876" s="1"/>
      <c r="S876" s="1"/>
      <c r="AD876" s="1"/>
      <c r="AE876" s="1"/>
    </row>
    <row r="877" spans="18:31" ht="75" customHeight="1">
      <c r="R877" s="1"/>
      <c r="S877" s="1"/>
      <c r="AD877" s="1"/>
      <c r="AE877" s="1"/>
    </row>
    <row r="878" spans="18:31" ht="75" customHeight="1">
      <c r="R878" s="1"/>
      <c r="S878" s="1"/>
      <c r="AD878" s="1"/>
      <c r="AE878" s="1"/>
    </row>
    <row r="879" spans="18:31" ht="75" customHeight="1">
      <c r="R879" s="1"/>
      <c r="S879" s="1"/>
      <c r="AD879" s="1"/>
      <c r="AE879" s="1"/>
    </row>
    <row r="880" spans="18:31" ht="75" customHeight="1">
      <c r="R880" s="1"/>
      <c r="S880" s="1"/>
      <c r="AD880" s="1"/>
      <c r="AE880" s="1"/>
    </row>
    <row r="881" spans="18:31" ht="75" customHeight="1">
      <c r="R881" s="1"/>
      <c r="S881" s="1"/>
      <c r="AD881" s="1"/>
      <c r="AE881" s="1"/>
    </row>
    <row r="882" spans="18:31" ht="75" customHeight="1">
      <c r="R882" s="1"/>
      <c r="S882" s="1"/>
      <c r="AD882" s="1"/>
      <c r="AE882" s="1"/>
    </row>
    <row r="883" spans="18:31" ht="75" customHeight="1">
      <c r="R883" s="1"/>
      <c r="S883" s="1"/>
      <c r="AD883" s="1"/>
      <c r="AE883" s="1"/>
    </row>
    <row r="884" spans="18:31" ht="75" customHeight="1">
      <c r="R884" s="1"/>
      <c r="S884" s="1"/>
      <c r="AD884" s="1"/>
      <c r="AE884" s="1"/>
    </row>
    <row r="885" spans="18:31" ht="75" customHeight="1">
      <c r="R885" s="1"/>
      <c r="S885" s="1"/>
      <c r="AD885" s="1"/>
      <c r="AE885" s="1"/>
    </row>
    <row r="886" spans="18:31" ht="75" customHeight="1">
      <c r="R886" s="1"/>
      <c r="S886" s="1"/>
      <c r="AD886" s="1"/>
      <c r="AE886" s="1"/>
    </row>
    <row r="887" spans="18:31" ht="75" customHeight="1">
      <c r="R887" s="1"/>
      <c r="S887" s="1"/>
      <c r="AD887" s="1"/>
      <c r="AE887" s="1"/>
    </row>
    <row r="888" spans="18:31" ht="75" customHeight="1">
      <c r="R888" s="1"/>
      <c r="S888" s="1"/>
      <c r="AD888" s="1"/>
      <c r="AE888" s="1"/>
    </row>
    <row r="889" spans="18:31" ht="75" customHeight="1">
      <c r="R889" s="1"/>
      <c r="S889" s="1"/>
      <c r="AD889" s="1"/>
      <c r="AE889" s="1"/>
    </row>
    <row r="890" spans="18:31" ht="75" customHeight="1">
      <c r="R890" s="1"/>
      <c r="S890" s="1"/>
      <c r="AD890" s="1"/>
      <c r="AE890" s="1"/>
    </row>
    <row r="891" spans="18:31" ht="75" customHeight="1">
      <c r="R891" s="1"/>
      <c r="S891" s="1"/>
      <c r="AD891" s="1"/>
      <c r="AE891" s="1"/>
    </row>
    <row r="892" spans="18:31" ht="75" customHeight="1">
      <c r="R892" s="1"/>
      <c r="S892" s="1"/>
      <c r="AD892" s="1"/>
      <c r="AE892" s="1"/>
    </row>
    <row r="893" spans="18:31" ht="75" customHeight="1">
      <c r="R893" s="1"/>
      <c r="S893" s="1"/>
      <c r="AD893" s="1"/>
      <c r="AE893" s="1"/>
    </row>
    <row r="894" spans="18:31" ht="75" customHeight="1">
      <c r="R894" s="1"/>
      <c r="S894" s="1"/>
      <c r="AD894" s="1"/>
      <c r="AE894" s="1"/>
    </row>
    <row r="895" spans="18:31" ht="75" customHeight="1">
      <c r="R895" s="1"/>
      <c r="S895" s="1"/>
      <c r="AD895" s="1"/>
      <c r="AE895" s="1"/>
    </row>
    <row r="896" spans="18:31" ht="75" customHeight="1">
      <c r="R896" s="1"/>
      <c r="S896" s="1"/>
      <c r="AD896" s="1"/>
      <c r="AE896" s="1"/>
    </row>
    <row r="897" spans="18:31" ht="75" customHeight="1">
      <c r="R897" s="1"/>
      <c r="S897" s="1"/>
      <c r="AD897" s="1"/>
      <c r="AE897" s="1"/>
    </row>
    <row r="898" spans="18:31" ht="75" customHeight="1">
      <c r="R898" s="1"/>
      <c r="S898" s="1"/>
      <c r="AD898" s="1"/>
      <c r="AE898" s="1"/>
    </row>
    <row r="899" spans="18:31" ht="75" customHeight="1">
      <c r="R899" s="1"/>
      <c r="S899" s="1"/>
      <c r="AD899" s="1"/>
      <c r="AE899" s="1"/>
    </row>
    <row r="900" spans="18:31" ht="75" customHeight="1">
      <c r="R900" s="1"/>
      <c r="S900" s="1"/>
      <c r="AD900" s="1"/>
      <c r="AE900" s="1"/>
    </row>
    <row r="901" spans="18:31" ht="75" customHeight="1">
      <c r="R901" s="1"/>
      <c r="S901" s="1"/>
      <c r="AD901" s="1"/>
      <c r="AE901" s="1"/>
    </row>
    <row r="902" spans="18:31" ht="75" customHeight="1">
      <c r="R902" s="1"/>
      <c r="S902" s="1"/>
      <c r="AD902" s="1"/>
      <c r="AE902" s="1"/>
    </row>
    <row r="903" spans="18:31" ht="75" customHeight="1">
      <c r="R903" s="1"/>
      <c r="S903" s="1"/>
      <c r="AD903" s="1"/>
      <c r="AE903" s="1"/>
    </row>
    <row r="904" spans="18:31" ht="75" customHeight="1">
      <c r="R904" s="1"/>
      <c r="S904" s="1"/>
      <c r="AD904" s="1"/>
      <c r="AE904" s="1"/>
    </row>
    <row r="905" spans="18:31" ht="75" customHeight="1">
      <c r="R905" s="1"/>
      <c r="S905" s="1"/>
      <c r="AD905" s="1"/>
      <c r="AE905" s="1"/>
    </row>
    <row r="906" spans="18:31" ht="75" customHeight="1">
      <c r="R906" s="1"/>
      <c r="S906" s="1"/>
      <c r="AD906" s="1"/>
      <c r="AE906" s="1"/>
    </row>
    <row r="907" spans="18:31" ht="75" customHeight="1">
      <c r="R907" s="1"/>
      <c r="S907" s="1"/>
      <c r="AD907" s="1"/>
      <c r="AE907" s="1"/>
    </row>
    <row r="908" spans="18:31" ht="75" customHeight="1">
      <c r="R908" s="1"/>
      <c r="S908" s="1"/>
      <c r="AD908" s="1"/>
      <c r="AE908" s="1"/>
    </row>
    <row r="909" spans="18:31" ht="75" customHeight="1">
      <c r="R909" s="1"/>
      <c r="S909" s="1"/>
      <c r="AD909" s="1"/>
      <c r="AE909" s="1"/>
    </row>
    <row r="910" spans="18:31" ht="75" customHeight="1">
      <c r="R910" s="1"/>
      <c r="S910" s="1"/>
      <c r="AD910" s="1"/>
      <c r="AE910" s="1"/>
    </row>
    <row r="911" spans="18:31" ht="75" customHeight="1">
      <c r="R911" s="1"/>
      <c r="S911" s="1"/>
      <c r="AD911" s="1"/>
      <c r="AE911" s="1"/>
    </row>
    <row r="912" spans="18:31" ht="75" customHeight="1">
      <c r="R912" s="1"/>
      <c r="S912" s="1"/>
      <c r="AD912" s="1"/>
      <c r="AE912" s="1"/>
    </row>
    <row r="913" spans="18:31" ht="75" customHeight="1">
      <c r="R913" s="1"/>
      <c r="S913" s="1"/>
      <c r="AD913" s="1"/>
      <c r="AE913" s="1"/>
    </row>
    <row r="914" spans="18:31" ht="75" customHeight="1">
      <c r="R914" s="1"/>
      <c r="S914" s="1"/>
      <c r="AD914" s="1"/>
      <c r="AE914" s="1"/>
    </row>
    <row r="915" spans="18:31" ht="75" customHeight="1">
      <c r="R915" s="1"/>
      <c r="S915" s="1"/>
      <c r="AD915" s="1"/>
      <c r="AE915" s="1"/>
    </row>
    <row r="916" spans="18:31" ht="75" customHeight="1">
      <c r="R916" s="1"/>
      <c r="S916" s="1"/>
      <c r="AD916" s="1"/>
      <c r="AE916" s="1"/>
    </row>
    <row r="917" spans="18:31" ht="75" customHeight="1">
      <c r="R917" s="1"/>
      <c r="S917" s="1"/>
      <c r="AD917" s="1"/>
      <c r="AE917" s="1"/>
    </row>
    <row r="918" spans="18:31" ht="75" customHeight="1">
      <c r="R918" s="1"/>
      <c r="S918" s="1"/>
      <c r="AD918" s="1"/>
      <c r="AE918" s="1"/>
    </row>
    <row r="919" spans="18:31" ht="75" customHeight="1">
      <c r="R919" s="1"/>
      <c r="S919" s="1"/>
      <c r="AD919" s="1"/>
      <c r="AE919" s="1"/>
    </row>
    <row r="920" spans="18:31" ht="75" customHeight="1">
      <c r="R920" s="1"/>
      <c r="S920" s="1"/>
      <c r="AD920" s="1"/>
      <c r="AE920" s="1"/>
    </row>
    <row r="921" spans="18:31" ht="75" customHeight="1">
      <c r="R921" s="1"/>
      <c r="S921" s="1"/>
      <c r="AD921" s="1"/>
      <c r="AE921" s="1"/>
    </row>
    <row r="922" spans="18:31" ht="75" customHeight="1">
      <c r="R922" s="1"/>
      <c r="S922" s="1"/>
      <c r="AD922" s="1"/>
      <c r="AE922" s="1"/>
    </row>
    <row r="923" spans="18:31" ht="75" customHeight="1">
      <c r="R923" s="1"/>
      <c r="S923" s="1"/>
      <c r="AD923" s="1"/>
      <c r="AE923" s="1"/>
    </row>
    <row r="924" spans="18:31" ht="75" customHeight="1">
      <c r="R924" s="1"/>
      <c r="S924" s="1"/>
      <c r="AD924" s="1"/>
      <c r="AE924" s="1"/>
    </row>
    <row r="925" spans="18:31" ht="75" customHeight="1">
      <c r="R925" s="1"/>
      <c r="S925" s="1"/>
      <c r="AD925" s="1"/>
      <c r="AE925" s="1"/>
    </row>
    <row r="926" spans="18:31" ht="75" customHeight="1">
      <c r="R926" s="1"/>
      <c r="S926" s="1"/>
      <c r="AD926" s="1"/>
      <c r="AE926" s="1"/>
    </row>
    <row r="927" spans="18:31" ht="75" customHeight="1">
      <c r="R927" s="1"/>
      <c r="S927" s="1"/>
      <c r="AD927" s="1"/>
      <c r="AE927" s="1"/>
    </row>
    <row r="928" spans="18:31" ht="75" customHeight="1">
      <c r="R928" s="1"/>
      <c r="S928" s="1"/>
      <c r="AD928" s="1"/>
      <c r="AE928" s="1"/>
    </row>
    <row r="929" spans="18:31" ht="75" customHeight="1">
      <c r="R929" s="1"/>
      <c r="S929" s="1"/>
      <c r="AD929" s="1"/>
      <c r="AE929" s="1"/>
    </row>
    <row r="930" spans="18:31" ht="75" customHeight="1">
      <c r="R930" s="1"/>
      <c r="S930" s="1"/>
      <c r="AD930" s="1"/>
      <c r="AE930" s="1"/>
    </row>
    <row r="931" spans="18:31" ht="75" customHeight="1">
      <c r="R931" s="1"/>
      <c r="S931" s="1"/>
      <c r="AD931" s="1"/>
      <c r="AE931" s="1"/>
    </row>
    <row r="932" spans="18:31" ht="75" customHeight="1">
      <c r="R932" s="1"/>
      <c r="S932" s="1"/>
      <c r="AD932" s="1"/>
      <c r="AE932" s="1"/>
    </row>
    <row r="933" spans="18:31" ht="75" customHeight="1">
      <c r="R933" s="1"/>
      <c r="S933" s="1"/>
      <c r="AD933" s="1"/>
      <c r="AE933" s="1"/>
    </row>
    <row r="934" spans="18:31" ht="75" customHeight="1">
      <c r="R934" s="1"/>
      <c r="S934" s="1"/>
      <c r="AD934" s="1"/>
      <c r="AE934" s="1"/>
    </row>
    <row r="935" spans="18:31" ht="75" customHeight="1">
      <c r="R935" s="1"/>
      <c r="S935" s="1"/>
      <c r="AD935" s="1"/>
      <c r="AE935" s="1"/>
    </row>
    <row r="936" spans="18:31" ht="75" customHeight="1">
      <c r="R936" s="1"/>
      <c r="S936" s="1"/>
      <c r="AD936" s="1"/>
      <c r="AE936" s="1"/>
    </row>
    <row r="937" spans="18:31" ht="75" customHeight="1">
      <c r="R937" s="1"/>
      <c r="S937" s="1"/>
      <c r="AD937" s="1"/>
      <c r="AE937" s="1"/>
    </row>
    <row r="938" spans="18:31" ht="75" customHeight="1">
      <c r="R938" s="1"/>
      <c r="S938" s="1"/>
      <c r="AD938" s="1"/>
      <c r="AE938" s="1"/>
    </row>
    <row r="939" spans="18:31" ht="75" customHeight="1">
      <c r="R939" s="1"/>
      <c r="S939" s="1"/>
      <c r="AD939" s="1"/>
      <c r="AE939" s="1"/>
    </row>
    <row r="940" spans="18:31" ht="75" customHeight="1">
      <c r="R940" s="1"/>
      <c r="S940" s="1"/>
      <c r="AD940" s="1"/>
      <c r="AE940" s="1"/>
    </row>
    <row r="941" spans="18:31" ht="75" customHeight="1">
      <c r="R941" s="1"/>
      <c r="S941" s="1"/>
      <c r="AD941" s="1"/>
      <c r="AE941" s="1"/>
    </row>
    <row r="942" spans="18:31" ht="75" customHeight="1">
      <c r="R942" s="1"/>
      <c r="S942" s="1"/>
      <c r="AD942" s="1"/>
      <c r="AE942" s="1"/>
    </row>
    <row r="943" spans="18:31" ht="75" customHeight="1">
      <c r="R943" s="1"/>
      <c r="S943" s="1"/>
      <c r="AD943" s="1"/>
      <c r="AE943" s="1"/>
    </row>
    <row r="944" spans="18:31" ht="75" customHeight="1">
      <c r="R944" s="1"/>
      <c r="S944" s="1"/>
      <c r="AD944" s="1"/>
      <c r="AE944" s="1"/>
    </row>
    <row r="945" spans="18:31" ht="75" customHeight="1">
      <c r="R945" s="1"/>
      <c r="S945" s="1"/>
      <c r="AD945" s="1"/>
      <c r="AE945" s="1"/>
    </row>
    <row r="946" spans="18:31" ht="75" customHeight="1">
      <c r="R946" s="1"/>
      <c r="S946" s="1"/>
      <c r="AD946" s="1"/>
      <c r="AE946" s="1"/>
    </row>
    <row r="947" spans="18:31" ht="75" customHeight="1">
      <c r="R947" s="1"/>
      <c r="S947" s="1"/>
      <c r="AD947" s="1"/>
      <c r="AE947" s="1"/>
    </row>
    <row r="948" spans="18:31" ht="75" customHeight="1">
      <c r="R948" s="1"/>
      <c r="S948" s="1"/>
      <c r="AD948" s="1"/>
      <c r="AE948" s="1"/>
    </row>
    <row r="949" spans="18:31" ht="75" customHeight="1">
      <c r="R949" s="1"/>
      <c r="S949" s="1"/>
      <c r="AD949" s="1"/>
      <c r="AE949" s="1"/>
    </row>
    <row r="950" spans="18:31" ht="75" customHeight="1">
      <c r="R950" s="1"/>
      <c r="S950" s="1"/>
      <c r="AD950" s="1"/>
      <c r="AE950" s="1"/>
    </row>
    <row r="951" spans="18:31" ht="75" customHeight="1">
      <c r="R951" s="1"/>
      <c r="S951" s="1"/>
      <c r="AD951" s="1"/>
      <c r="AE951" s="1"/>
    </row>
    <row r="952" spans="18:31" ht="75" customHeight="1">
      <c r="R952" s="1"/>
      <c r="S952" s="1"/>
      <c r="AD952" s="1"/>
      <c r="AE952" s="1"/>
    </row>
    <row r="953" spans="18:31" ht="75" customHeight="1">
      <c r="R953" s="1"/>
      <c r="S953" s="1"/>
      <c r="AD953" s="1"/>
      <c r="AE953" s="1"/>
    </row>
    <row r="954" spans="18:31" ht="75" customHeight="1">
      <c r="R954" s="1"/>
      <c r="S954" s="1"/>
      <c r="AD954" s="1"/>
      <c r="AE954" s="1"/>
    </row>
    <row r="955" spans="18:31" ht="75" customHeight="1">
      <c r="R955" s="1"/>
      <c r="S955" s="1"/>
      <c r="AD955" s="1"/>
      <c r="AE955" s="1"/>
    </row>
    <row r="956" spans="18:31" ht="75" customHeight="1">
      <c r="R956" s="1"/>
      <c r="S956" s="1"/>
      <c r="AD956" s="1"/>
      <c r="AE956" s="1"/>
    </row>
    <row r="957" spans="18:31" ht="75" customHeight="1">
      <c r="R957" s="1"/>
      <c r="S957" s="1"/>
      <c r="AD957" s="1"/>
      <c r="AE957" s="1"/>
    </row>
    <row r="958" spans="18:31" ht="75" customHeight="1">
      <c r="R958" s="1"/>
      <c r="S958" s="1"/>
      <c r="AD958" s="1"/>
      <c r="AE958" s="1"/>
    </row>
    <row r="959" spans="18:31" ht="75" customHeight="1">
      <c r="R959" s="1"/>
      <c r="S959" s="1"/>
      <c r="AD959" s="1"/>
      <c r="AE959" s="1"/>
    </row>
    <row r="960" spans="18:31" ht="75" customHeight="1">
      <c r="R960" s="1"/>
      <c r="S960" s="1"/>
      <c r="AD960" s="1"/>
      <c r="AE960" s="1"/>
    </row>
    <row r="961" spans="18:31" ht="75" customHeight="1">
      <c r="R961" s="1"/>
      <c r="S961" s="1"/>
      <c r="AD961" s="1"/>
      <c r="AE961" s="1"/>
    </row>
    <row r="962" spans="18:31" ht="75" customHeight="1">
      <c r="R962" s="1"/>
      <c r="S962" s="1"/>
      <c r="AD962" s="1"/>
      <c r="AE962" s="1"/>
    </row>
    <row r="963" spans="18:31" ht="75" customHeight="1">
      <c r="R963" s="1"/>
      <c r="S963" s="1"/>
      <c r="AD963" s="1"/>
      <c r="AE963" s="1"/>
    </row>
    <row r="964" spans="18:31" ht="75" customHeight="1">
      <c r="R964" s="1"/>
      <c r="S964" s="1"/>
      <c r="AD964" s="1"/>
      <c r="AE964" s="1"/>
    </row>
    <row r="965" spans="18:31" ht="75" customHeight="1">
      <c r="R965" s="1"/>
      <c r="S965" s="1"/>
      <c r="AD965" s="1"/>
      <c r="AE965" s="1"/>
    </row>
    <row r="966" spans="18:31" ht="75" customHeight="1">
      <c r="R966" s="1"/>
      <c r="S966" s="1"/>
      <c r="AD966" s="1"/>
      <c r="AE966" s="1"/>
    </row>
    <row r="967" spans="18:31" ht="75" customHeight="1">
      <c r="R967" s="1"/>
      <c r="S967" s="1"/>
      <c r="AD967" s="1"/>
      <c r="AE967" s="1"/>
    </row>
    <row r="968" spans="18:31" ht="75" customHeight="1">
      <c r="R968" s="1"/>
      <c r="S968" s="1"/>
      <c r="AD968" s="1"/>
      <c r="AE968" s="1"/>
    </row>
    <row r="969" spans="18:31" ht="75" customHeight="1">
      <c r="R969" s="1"/>
      <c r="S969" s="1"/>
      <c r="AD969" s="1"/>
      <c r="AE969" s="1"/>
    </row>
    <row r="970" spans="18:31" ht="75" customHeight="1">
      <c r="R970" s="1"/>
      <c r="S970" s="1"/>
      <c r="AD970" s="1"/>
      <c r="AE970" s="1"/>
    </row>
    <row r="971" spans="18:31" ht="75" customHeight="1">
      <c r="R971" s="1"/>
      <c r="S971" s="1"/>
      <c r="AD971" s="1"/>
      <c r="AE971" s="1"/>
    </row>
    <row r="972" spans="18:31" ht="75" customHeight="1">
      <c r="R972" s="1"/>
      <c r="S972" s="1"/>
      <c r="AD972" s="1"/>
      <c r="AE972" s="1"/>
    </row>
    <row r="973" spans="18:31" ht="75" customHeight="1">
      <c r="R973" s="1"/>
      <c r="S973" s="1"/>
      <c r="AD973" s="1"/>
      <c r="AE973" s="1"/>
    </row>
    <row r="974" spans="18:31" ht="75" customHeight="1">
      <c r="R974" s="1"/>
      <c r="S974" s="1"/>
      <c r="AD974" s="1"/>
      <c r="AE974" s="1"/>
    </row>
    <row r="975" spans="18:31" ht="75" customHeight="1">
      <c r="R975" s="1"/>
      <c r="S975" s="1"/>
      <c r="AD975" s="1"/>
      <c r="AE975" s="1"/>
    </row>
    <row r="976" spans="18:31" ht="75" customHeight="1">
      <c r="R976" s="1"/>
      <c r="S976" s="1"/>
      <c r="AD976" s="1"/>
      <c r="AE976" s="1"/>
    </row>
    <row r="977" spans="18:31" ht="75" customHeight="1">
      <c r="R977" s="1"/>
      <c r="S977" s="1"/>
      <c r="AD977" s="1"/>
      <c r="AE977" s="1"/>
    </row>
    <row r="978" spans="18:31" ht="75" customHeight="1">
      <c r="R978" s="1"/>
      <c r="S978" s="1"/>
      <c r="AD978" s="1"/>
      <c r="AE978" s="1"/>
    </row>
    <row r="979" spans="18:31" ht="75" customHeight="1">
      <c r="R979" s="1"/>
      <c r="S979" s="1"/>
      <c r="AD979" s="1"/>
      <c r="AE979" s="1"/>
    </row>
    <row r="980" spans="18:31" ht="75" customHeight="1">
      <c r="R980" s="1"/>
      <c r="S980" s="1"/>
      <c r="AD980" s="1"/>
      <c r="AE980" s="1"/>
    </row>
    <row r="981" spans="18:31" ht="75" customHeight="1">
      <c r="R981" s="1"/>
      <c r="S981" s="1"/>
      <c r="AD981" s="1"/>
      <c r="AE981" s="1"/>
    </row>
    <row r="982" spans="18:31" ht="75" customHeight="1">
      <c r="R982" s="1"/>
      <c r="S982" s="1"/>
      <c r="AD982" s="1"/>
      <c r="AE982" s="1"/>
    </row>
    <row r="983" spans="18:31" ht="75" customHeight="1">
      <c r="R983" s="1"/>
      <c r="S983" s="1"/>
      <c r="AD983" s="1"/>
      <c r="AE983" s="1"/>
    </row>
    <row r="984" spans="18:31" ht="75" customHeight="1">
      <c r="R984" s="1"/>
      <c r="S984" s="1"/>
      <c r="AD984" s="1"/>
      <c r="AE984" s="1"/>
    </row>
    <row r="985" spans="18:31" ht="75" customHeight="1">
      <c r="R985" s="1"/>
      <c r="S985" s="1"/>
      <c r="AD985" s="1"/>
      <c r="AE985" s="1"/>
    </row>
    <row r="986" spans="18:31" ht="75" customHeight="1">
      <c r="R986" s="1"/>
      <c r="S986" s="1"/>
      <c r="AD986" s="1"/>
      <c r="AE986" s="1"/>
    </row>
    <row r="987" spans="18:31" ht="75" customHeight="1">
      <c r="R987" s="1"/>
      <c r="S987" s="1"/>
      <c r="AD987" s="1"/>
      <c r="AE987" s="1"/>
    </row>
    <row r="988" spans="18:31" ht="75" customHeight="1">
      <c r="R988" s="1"/>
      <c r="S988" s="1"/>
      <c r="AD988" s="1"/>
      <c r="AE988" s="1"/>
    </row>
    <row r="989" spans="18:31" ht="75" customHeight="1">
      <c r="R989" s="1"/>
      <c r="S989" s="1"/>
      <c r="AD989" s="1"/>
      <c r="AE989" s="1"/>
    </row>
    <row r="990" spans="18:31" ht="75" customHeight="1">
      <c r="R990" s="1"/>
      <c r="S990" s="1"/>
      <c r="AD990" s="1"/>
      <c r="AE990" s="1"/>
    </row>
    <row r="991" spans="18:31" ht="75" customHeight="1">
      <c r="R991" s="1"/>
      <c r="S991" s="1"/>
      <c r="AD991" s="1"/>
      <c r="AE991" s="1"/>
    </row>
    <row r="992" spans="18:31" ht="75" customHeight="1">
      <c r="R992" s="1"/>
      <c r="S992" s="1"/>
      <c r="AD992" s="1"/>
      <c r="AE992" s="1"/>
    </row>
    <row r="993" spans="18:31" ht="75" customHeight="1">
      <c r="R993" s="1"/>
      <c r="S993" s="1"/>
      <c r="AD993" s="1"/>
      <c r="AE993" s="1"/>
    </row>
    <row r="994" spans="18:31" ht="75" customHeight="1">
      <c r="R994" s="1"/>
      <c r="S994" s="1"/>
      <c r="AD994" s="1"/>
      <c r="AE994" s="1"/>
    </row>
    <row r="995" spans="18:31" ht="75" customHeight="1">
      <c r="R995" s="1"/>
      <c r="S995" s="1"/>
      <c r="AD995" s="1"/>
      <c r="AE995" s="1"/>
    </row>
    <row r="996" spans="18:31" ht="75" customHeight="1">
      <c r="R996" s="1"/>
      <c r="S996" s="1"/>
      <c r="AD996" s="1"/>
      <c r="AE996" s="1"/>
    </row>
    <row r="997" spans="18:31" ht="75" customHeight="1">
      <c r="R997" s="1"/>
      <c r="S997" s="1"/>
      <c r="AD997" s="1"/>
      <c r="AE997" s="1"/>
    </row>
    <row r="998" spans="18:31" ht="75" customHeight="1">
      <c r="R998" s="1"/>
      <c r="S998" s="1"/>
      <c r="AD998" s="1"/>
      <c r="AE998" s="1"/>
    </row>
    <row r="999" spans="18:31" ht="75" customHeight="1">
      <c r="R999" s="1"/>
      <c r="S999" s="1"/>
      <c r="AD999" s="1"/>
      <c r="AE999" s="1"/>
    </row>
    <row r="1000" spans="18:31" ht="75" customHeight="1">
      <c r="R1000" s="1"/>
      <c r="S1000" s="1"/>
      <c r="AD1000" s="1"/>
      <c r="AE1000" s="1"/>
    </row>
    <row r="1001" spans="18:31" ht="75" customHeight="1">
      <c r="R1001" s="1"/>
      <c r="S1001" s="1"/>
      <c r="AD1001" s="1"/>
      <c r="AE1001" s="1"/>
    </row>
    <row r="1002" spans="18:31" ht="75" customHeight="1">
      <c r="R1002" s="1"/>
      <c r="S1002" s="1"/>
      <c r="AD1002" s="1"/>
      <c r="AE1002" s="1"/>
    </row>
    <row r="1003" spans="18:31" ht="75" customHeight="1">
      <c r="R1003" s="1"/>
      <c r="S1003" s="1"/>
      <c r="AD1003" s="1"/>
      <c r="AE1003" s="1"/>
    </row>
    <row r="1004" spans="18:31" ht="75" customHeight="1">
      <c r="R1004" s="1"/>
      <c r="S1004" s="1"/>
      <c r="AD1004" s="1"/>
      <c r="AE1004" s="1"/>
    </row>
    <row r="1005" spans="18:31" ht="75" customHeight="1">
      <c r="R1005" s="1"/>
      <c r="S1005" s="1"/>
      <c r="AD1005" s="1"/>
      <c r="AE1005" s="1"/>
    </row>
    <row r="1006" spans="18:31" ht="75" customHeight="1">
      <c r="R1006" s="1"/>
      <c r="S1006" s="1"/>
      <c r="AD1006" s="1"/>
      <c r="AE1006" s="1"/>
    </row>
    <row r="1007" spans="18:31" ht="75" customHeight="1">
      <c r="R1007" s="1"/>
      <c r="S1007" s="1"/>
      <c r="AD1007" s="1"/>
      <c r="AE1007" s="1"/>
    </row>
    <row r="1008" spans="18:31" ht="75" customHeight="1">
      <c r="R1008" s="1"/>
      <c r="S1008" s="1"/>
      <c r="AD1008" s="1"/>
      <c r="AE1008" s="1"/>
    </row>
    <row r="1009" spans="18:31" ht="75" customHeight="1">
      <c r="R1009" s="1"/>
      <c r="S1009" s="1"/>
      <c r="AD1009" s="1"/>
      <c r="AE1009" s="1"/>
    </row>
    <row r="1010" spans="18:31" ht="75" customHeight="1">
      <c r="R1010" s="1"/>
      <c r="S1010" s="1"/>
      <c r="AD1010" s="1"/>
      <c r="AE1010" s="1"/>
    </row>
    <row r="1011" spans="18:31" ht="75" customHeight="1">
      <c r="R1011" s="1"/>
      <c r="S1011" s="1"/>
      <c r="AD1011" s="1"/>
      <c r="AE1011" s="1"/>
    </row>
    <row r="1012" spans="18:31" ht="75" customHeight="1">
      <c r="R1012" s="1"/>
      <c r="S1012" s="1"/>
      <c r="AD1012" s="1"/>
      <c r="AE1012" s="1"/>
    </row>
    <row r="1013" spans="18:31" ht="75" customHeight="1">
      <c r="R1013" s="1"/>
      <c r="S1013" s="1"/>
      <c r="AD1013" s="1"/>
      <c r="AE1013" s="1"/>
    </row>
    <row r="1014" spans="18:31" ht="75" customHeight="1">
      <c r="R1014" s="1"/>
      <c r="S1014" s="1"/>
      <c r="AD1014" s="1"/>
      <c r="AE1014" s="1"/>
    </row>
    <row r="1015" spans="18:31" ht="75" customHeight="1">
      <c r="R1015" s="1"/>
      <c r="S1015" s="1"/>
      <c r="AD1015" s="1"/>
      <c r="AE1015" s="1"/>
    </row>
    <row r="1016" spans="18:31" ht="75" customHeight="1">
      <c r="R1016" s="1"/>
      <c r="S1016" s="1"/>
      <c r="AD1016" s="1"/>
      <c r="AE1016" s="1"/>
    </row>
    <row r="1017" spans="18:31" ht="75" customHeight="1">
      <c r="R1017" s="1"/>
      <c r="S1017" s="1"/>
      <c r="AD1017" s="1"/>
      <c r="AE1017" s="1"/>
    </row>
    <row r="1018" spans="18:31" ht="75" customHeight="1">
      <c r="R1018" s="1"/>
      <c r="S1018" s="1"/>
      <c r="AD1018" s="1"/>
      <c r="AE1018" s="1"/>
    </row>
    <row r="1019" spans="18:31" ht="75" customHeight="1">
      <c r="R1019" s="1"/>
      <c r="S1019" s="1"/>
      <c r="AD1019" s="1"/>
      <c r="AE1019" s="1"/>
    </row>
    <row r="1020" spans="18:31" ht="75" customHeight="1">
      <c r="R1020" s="1"/>
      <c r="S1020" s="1"/>
      <c r="AD1020" s="1"/>
      <c r="AE1020" s="1"/>
    </row>
    <row r="1021" spans="18:31" ht="75" customHeight="1">
      <c r="R1021" s="1"/>
      <c r="S1021" s="1"/>
      <c r="AD1021" s="1"/>
      <c r="AE1021" s="1"/>
    </row>
    <row r="1022" spans="18:31" ht="75" customHeight="1">
      <c r="R1022" s="1"/>
      <c r="S1022" s="1"/>
      <c r="AD1022" s="1"/>
      <c r="AE1022" s="1"/>
    </row>
    <row r="1023" spans="18:31" ht="75" customHeight="1">
      <c r="R1023" s="1"/>
      <c r="S1023" s="1"/>
      <c r="AD1023" s="1"/>
      <c r="AE1023" s="1"/>
    </row>
    <row r="1024" spans="18:31" ht="75" customHeight="1">
      <c r="R1024" s="1"/>
      <c r="S1024" s="1"/>
      <c r="AD1024" s="1"/>
      <c r="AE1024" s="1"/>
    </row>
    <row r="1025" spans="18:31" ht="75" customHeight="1">
      <c r="R1025" s="1"/>
      <c r="S1025" s="1"/>
      <c r="AD1025" s="1"/>
      <c r="AE1025" s="1"/>
    </row>
    <row r="1026" spans="18:31" ht="75" customHeight="1">
      <c r="R1026" s="1"/>
      <c r="S1026" s="1"/>
      <c r="AD1026" s="1"/>
      <c r="AE1026" s="1"/>
    </row>
    <row r="1027" spans="18:31" ht="75" customHeight="1">
      <c r="R1027" s="1"/>
      <c r="S1027" s="1"/>
      <c r="AD1027" s="1"/>
      <c r="AE1027" s="1"/>
    </row>
    <row r="1028" spans="18:31" ht="75" customHeight="1">
      <c r="R1028" s="1"/>
      <c r="S1028" s="1"/>
      <c r="AD1028" s="1"/>
      <c r="AE1028" s="1"/>
    </row>
    <row r="1029" spans="18:31" ht="75" customHeight="1">
      <c r="R1029" s="1"/>
      <c r="S1029" s="1"/>
      <c r="AD1029" s="1"/>
      <c r="AE1029" s="1"/>
    </row>
    <row r="1030" spans="18:31" ht="75" customHeight="1">
      <c r="R1030" s="1"/>
      <c r="S1030" s="1"/>
      <c r="AD1030" s="1"/>
      <c r="AE1030" s="1"/>
    </row>
    <row r="1031" spans="18:31" ht="75" customHeight="1">
      <c r="R1031" s="1"/>
      <c r="S1031" s="1"/>
      <c r="AD1031" s="1"/>
      <c r="AE1031" s="1"/>
    </row>
    <row r="1032" spans="18:31" ht="75" customHeight="1">
      <c r="R1032" s="1"/>
      <c r="S1032" s="1"/>
      <c r="AD1032" s="1"/>
      <c r="AE1032" s="1"/>
    </row>
    <row r="1033" spans="18:31" ht="75" customHeight="1">
      <c r="R1033" s="1"/>
      <c r="S1033" s="1"/>
      <c r="AD1033" s="1"/>
      <c r="AE1033" s="1"/>
    </row>
    <row r="1034" spans="18:31" ht="75" customHeight="1">
      <c r="R1034" s="1"/>
      <c r="S1034" s="1"/>
      <c r="AD1034" s="1"/>
      <c r="AE1034" s="1"/>
    </row>
    <row r="1035" spans="18:31" ht="75" customHeight="1">
      <c r="R1035" s="1"/>
      <c r="S1035" s="1"/>
      <c r="AD1035" s="1"/>
      <c r="AE1035" s="1"/>
    </row>
    <row r="1036" spans="18:31" ht="75" customHeight="1">
      <c r="R1036" s="1"/>
      <c r="S1036" s="1"/>
      <c r="AD1036" s="1"/>
      <c r="AE1036" s="1"/>
    </row>
    <row r="1037" spans="18:31" ht="75" customHeight="1">
      <c r="R1037" s="1"/>
      <c r="S1037" s="1"/>
      <c r="AD1037" s="1"/>
      <c r="AE1037" s="1"/>
    </row>
    <row r="1038" spans="18:31" ht="75" customHeight="1">
      <c r="R1038" s="1"/>
      <c r="S1038" s="1"/>
      <c r="AD1038" s="1"/>
      <c r="AE1038" s="1"/>
    </row>
    <row r="1039" spans="18:31" ht="75" customHeight="1">
      <c r="R1039" s="1"/>
      <c r="S1039" s="1"/>
      <c r="AD1039" s="1"/>
      <c r="AE1039" s="1"/>
    </row>
    <row r="1040" spans="18:31" ht="75" customHeight="1">
      <c r="R1040" s="1"/>
      <c r="S1040" s="1"/>
      <c r="AD1040" s="1"/>
      <c r="AE1040" s="1"/>
    </row>
    <row r="1041" spans="18:31" ht="75" customHeight="1">
      <c r="R1041" s="1"/>
      <c r="S1041" s="1"/>
      <c r="AD1041" s="1"/>
      <c r="AE1041" s="1"/>
    </row>
    <row r="1042" spans="18:31" ht="75" customHeight="1">
      <c r="R1042" s="1"/>
      <c r="S1042" s="1"/>
      <c r="AD1042" s="1"/>
      <c r="AE1042" s="1"/>
    </row>
    <row r="1043" spans="18:31" ht="75" customHeight="1">
      <c r="R1043" s="1"/>
      <c r="S1043" s="1"/>
      <c r="AD1043" s="1"/>
      <c r="AE1043" s="1"/>
    </row>
    <row r="1044" spans="18:31" ht="75" customHeight="1">
      <c r="R1044" s="1"/>
      <c r="S1044" s="1"/>
      <c r="AD1044" s="1"/>
      <c r="AE1044" s="1"/>
    </row>
    <row r="1045" spans="18:31" ht="75" customHeight="1">
      <c r="R1045" s="1"/>
      <c r="S1045" s="1"/>
      <c r="AD1045" s="1"/>
      <c r="AE1045" s="1"/>
    </row>
    <row r="1046" spans="18:31" ht="75" customHeight="1">
      <c r="R1046" s="1"/>
      <c r="S1046" s="1"/>
      <c r="AD1046" s="1"/>
      <c r="AE1046" s="1"/>
    </row>
    <row r="1047" spans="18:31" ht="75" customHeight="1">
      <c r="R1047" s="1"/>
      <c r="S1047" s="1"/>
      <c r="AD1047" s="1"/>
      <c r="AE1047" s="1"/>
    </row>
    <row r="1048" spans="18:31" ht="75" customHeight="1">
      <c r="R1048" s="1"/>
      <c r="S1048" s="1"/>
      <c r="AD1048" s="1"/>
      <c r="AE1048" s="1"/>
    </row>
    <row r="1049" spans="18:31" ht="75" customHeight="1">
      <c r="R1049" s="1"/>
      <c r="S1049" s="1"/>
      <c r="AD1049" s="1"/>
      <c r="AE1049" s="1"/>
    </row>
    <row r="1050" spans="18:31" ht="75" customHeight="1">
      <c r="R1050" s="1"/>
      <c r="S1050" s="1"/>
      <c r="AD1050" s="1"/>
      <c r="AE1050" s="1"/>
    </row>
    <row r="1051" spans="18:31" ht="75" customHeight="1">
      <c r="R1051" s="1"/>
      <c r="S1051" s="1"/>
      <c r="AD1051" s="1"/>
      <c r="AE1051" s="1"/>
    </row>
    <row r="1052" spans="18:31" ht="75" customHeight="1">
      <c r="R1052" s="1"/>
      <c r="S1052" s="1"/>
      <c r="AD1052" s="1"/>
      <c r="AE1052" s="1"/>
    </row>
    <row r="1053" spans="18:31" ht="75" customHeight="1">
      <c r="R1053" s="1"/>
      <c r="S1053" s="1"/>
      <c r="AD1053" s="1"/>
      <c r="AE1053" s="1"/>
    </row>
    <row r="1054" spans="18:31" ht="75" customHeight="1">
      <c r="R1054" s="1"/>
      <c r="S1054" s="1"/>
      <c r="AD1054" s="1"/>
      <c r="AE1054" s="1"/>
    </row>
    <row r="1055" spans="18:31" ht="75" customHeight="1">
      <c r="R1055" s="1"/>
      <c r="S1055" s="1"/>
      <c r="AD1055" s="1"/>
      <c r="AE1055" s="1"/>
    </row>
    <row r="1056" spans="18:31" ht="75" customHeight="1">
      <c r="R1056" s="1"/>
      <c r="S1056" s="1"/>
      <c r="AD1056" s="1"/>
      <c r="AE1056" s="1"/>
    </row>
    <row r="1057" spans="18:31" ht="75" customHeight="1">
      <c r="R1057" s="1"/>
      <c r="S1057" s="1"/>
      <c r="AD1057" s="1"/>
      <c r="AE1057" s="1"/>
    </row>
    <row r="1058" spans="18:31" ht="75" customHeight="1">
      <c r="R1058" s="1"/>
      <c r="S1058" s="1"/>
      <c r="AD1058" s="1"/>
      <c r="AE1058" s="1"/>
    </row>
    <row r="1059" spans="18:31" ht="75" customHeight="1">
      <c r="R1059" s="1"/>
      <c r="S1059" s="1"/>
      <c r="AD1059" s="1"/>
      <c r="AE1059" s="1"/>
    </row>
    <row r="1060" spans="18:31" ht="75" customHeight="1">
      <c r="R1060" s="1"/>
      <c r="S1060" s="1"/>
      <c r="AD1060" s="1"/>
      <c r="AE1060" s="1"/>
    </row>
    <row r="1061" spans="18:31" ht="75" customHeight="1">
      <c r="R1061" s="1"/>
      <c r="S1061" s="1"/>
      <c r="AD1061" s="1"/>
      <c r="AE1061" s="1"/>
    </row>
    <row r="1062" spans="18:31" ht="75" customHeight="1">
      <c r="R1062" s="1"/>
      <c r="S1062" s="1"/>
      <c r="AD1062" s="1"/>
      <c r="AE1062" s="1"/>
    </row>
    <row r="1063" spans="18:31" ht="75" customHeight="1">
      <c r="R1063" s="1"/>
      <c r="S1063" s="1"/>
      <c r="AD1063" s="1"/>
      <c r="AE1063" s="1"/>
    </row>
    <row r="1064" spans="18:31" ht="75" customHeight="1">
      <c r="R1064" s="1"/>
      <c r="S1064" s="1"/>
      <c r="AD1064" s="1"/>
      <c r="AE1064" s="1"/>
    </row>
    <row r="1065" spans="18:31" ht="75" customHeight="1">
      <c r="R1065" s="1"/>
      <c r="S1065" s="1"/>
      <c r="AD1065" s="1"/>
      <c r="AE1065" s="1"/>
    </row>
    <row r="1066" spans="18:31" ht="75" customHeight="1">
      <c r="R1066" s="1"/>
      <c r="S1066" s="1"/>
      <c r="AD1066" s="1"/>
      <c r="AE1066" s="1"/>
    </row>
    <row r="1067" spans="18:31" ht="75" customHeight="1">
      <c r="R1067" s="1"/>
      <c r="S1067" s="1"/>
      <c r="AD1067" s="1"/>
      <c r="AE1067" s="1"/>
    </row>
    <row r="1068" spans="18:31" ht="75" customHeight="1">
      <c r="R1068" s="1"/>
      <c r="S1068" s="1"/>
      <c r="AD1068" s="1"/>
      <c r="AE1068" s="1"/>
    </row>
    <row r="1069" spans="18:31" ht="75" customHeight="1">
      <c r="R1069" s="1"/>
      <c r="S1069" s="1"/>
      <c r="AD1069" s="1"/>
      <c r="AE1069" s="1"/>
    </row>
    <row r="1070" spans="18:31" ht="75" customHeight="1">
      <c r="R1070" s="1"/>
      <c r="S1070" s="1"/>
      <c r="AD1070" s="1"/>
      <c r="AE1070" s="1"/>
    </row>
    <row r="1071" spans="18:31" ht="75" customHeight="1">
      <c r="R1071" s="1"/>
      <c r="S1071" s="1"/>
      <c r="AD1071" s="1"/>
      <c r="AE1071" s="1"/>
    </row>
    <row r="1072" spans="18:31" ht="75" customHeight="1">
      <c r="R1072" s="1"/>
      <c r="S1072" s="1"/>
      <c r="AD1072" s="1"/>
      <c r="AE1072" s="1"/>
    </row>
    <row r="1073" spans="18:31" ht="75" customHeight="1">
      <c r="R1073" s="1"/>
      <c r="S1073" s="1"/>
      <c r="AD1073" s="1"/>
      <c r="AE1073" s="1"/>
    </row>
    <row r="1074" spans="18:31" ht="75" customHeight="1">
      <c r="R1074" s="1"/>
      <c r="S1074" s="1"/>
      <c r="AD1074" s="1"/>
      <c r="AE1074" s="1"/>
    </row>
    <row r="1075" spans="18:31" ht="75" customHeight="1">
      <c r="R1075" s="1"/>
      <c r="S1075" s="1"/>
      <c r="AD1075" s="1"/>
      <c r="AE1075" s="1"/>
    </row>
    <row r="1076" spans="18:31" ht="75" customHeight="1">
      <c r="R1076" s="1"/>
      <c r="S1076" s="1"/>
      <c r="AD1076" s="1"/>
      <c r="AE1076" s="1"/>
    </row>
    <row r="1077" spans="18:31" ht="75" customHeight="1">
      <c r="R1077" s="1"/>
      <c r="S1077" s="1"/>
      <c r="AD1077" s="1"/>
      <c r="AE1077" s="1"/>
    </row>
    <row r="1078" spans="18:31" ht="75" customHeight="1">
      <c r="R1078" s="1"/>
      <c r="S1078" s="1"/>
      <c r="AD1078" s="1"/>
      <c r="AE1078" s="1"/>
    </row>
    <row r="1079" spans="18:31" ht="75" customHeight="1">
      <c r="R1079" s="1"/>
      <c r="S1079" s="1"/>
      <c r="AD1079" s="1"/>
      <c r="AE1079" s="1"/>
    </row>
    <row r="1080" spans="18:31" ht="75" customHeight="1">
      <c r="R1080" s="1"/>
      <c r="S1080" s="1"/>
      <c r="AD1080" s="1"/>
      <c r="AE1080" s="1"/>
    </row>
    <row r="1081" spans="18:31" ht="75" customHeight="1">
      <c r="R1081" s="1"/>
      <c r="S1081" s="1"/>
      <c r="AD1081" s="1"/>
      <c r="AE1081" s="1"/>
    </row>
    <row r="1082" spans="18:31" ht="75" customHeight="1">
      <c r="R1082" s="1"/>
      <c r="S1082" s="1"/>
      <c r="AD1082" s="1"/>
      <c r="AE1082" s="1"/>
    </row>
    <row r="1083" spans="18:31" ht="75" customHeight="1">
      <c r="R1083" s="1"/>
      <c r="S1083" s="1"/>
      <c r="AD1083" s="1"/>
      <c r="AE1083" s="1"/>
    </row>
    <row r="1084" spans="18:31" ht="75" customHeight="1">
      <c r="R1084" s="1"/>
      <c r="S1084" s="1"/>
      <c r="AD1084" s="1"/>
      <c r="AE1084" s="1"/>
    </row>
    <row r="1085" spans="18:31" ht="75" customHeight="1">
      <c r="R1085" s="1"/>
      <c r="S1085" s="1"/>
      <c r="AD1085" s="1"/>
      <c r="AE1085" s="1"/>
    </row>
    <row r="1086" spans="18:31" ht="75" customHeight="1">
      <c r="R1086" s="1"/>
      <c r="S1086" s="1"/>
      <c r="AD1086" s="1"/>
      <c r="AE1086" s="1"/>
    </row>
    <row r="1087" spans="18:31" ht="75" customHeight="1">
      <c r="R1087" s="1"/>
      <c r="S1087" s="1"/>
      <c r="AD1087" s="1"/>
      <c r="AE1087" s="1"/>
    </row>
    <row r="1088" spans="18:31" ht="75" customHeight="1">
      <c r="R1088" s="1"/>
      <c r="S1088" s="1"/>
      <c r="AD1088" s="1"/>
      <c r="AE1088" s="1"/>
    </row>
    <row r="1089" spans="18:31" ht="75" customHeight="1">
      <c r="R1089" s="1"/>
      <c r="S1089" s="1"/>
      <c r="AD1089" s="1"/>
      <c r="AE1089" s="1"/>
    </row>
    <row r="1090" spans="18:31" ht="75" customHeight="1">
      <c r="R1090" s="1"/>
      <c r="S1090" s="1"/>
      <c r="AD1090" s="1"/>
      <c r="AE1090" s="1"/>
    </row>
    <row r="1091" spans="18:31" ht="75" customHeight="1">
      <c r="R1091" s="1"/>
      <c r="S1091" s="1"/>
      <c r="AD1091" s="1"/>
      <c r="AE1091" s="1"/>
    </row>
    <row r="1092" spans="18:31" ht="75" customHeight="1">
      <c r="R1092" s="1"/>
      <c r="S1092" s="1"/>
      <c r="AD1092" s="1"/>
      <c r="AE1092" s="1"/>
    </row>
    <row r="1093" spans="18:31" ht="75" customHeight="1">
      <c r="R1093" s="1"/>
      <c r="S1093" s="1"/>
      <c r="AD1093" s="1"/>
      <c r="AE1093" s="1"/>
    </row>
    <row r="1094" spans="18:31" ht="75" customHeight="1">
      <c r="R1094" s="1"/>
      <c r="S1094" s="1"/>
      <c r="AD1094" s="1"/>
      <c r="AE1094" s="1"/>
    </row>
    <row r="1095" spans="18:31" ht="75" customHeight="1">
      <c r="R1095" s="1"/>
      <c r="S1095" s="1"/>
      <c r="AD1095" s="1"/>
      <c r="AE1095" s="1"/>
    </row>
    <row r="1096" spans="18:31" ht="75" customHeight="1">
      <c r="R1096" s="1"/>
      <c r="S1096" s="1"/>
      <c r="AD1096" s="1"/>
      <c r="AE1096" s="1"/>
    </row>
    <row r="1097" spans="18:31" ht="75" customHeight="1">
      <c r="R1097" s="1"/>
      <c r="S1097" s="1"/>
      <c r="AD1097" s="1"/>
      <c r="AE1097" s="1"/>
    </row>
    <row r="1098" spans="18:31" ht="75" customHeight="1">
      <c r="R1098" s="1"/>
      <c r="S1098" s="1"/>
      <c r="AD1098" s="1"/>
      <c r="AE1098" s="1"/>
    </row>
    <row r="1099" spans="18:31" ht="75" customHeight="1">
      <c r="R1099" s="1"/>
      <c r="S1099" s="1"/>
      <c r="AD1099" s="1"/>
      <c r="AE1099" s="1"/>
    </row>
    <row r="1100" spans="18:31" ht="75" customHeight="1">
      <c r="R1100" s="1"/>
      <c r="S1100" s="1"/>
      <c r="AD1100" s="1"/>
      <c r="AE1100" s="1"/>
    </row>
    <row r="1101" spans="18:31" ht="75" customHeight="1">
      <c r="R1101" s="1"/>
      <c r="S1101" s="1"/>
      <c r="AD1101" s="1"/>
      <c r="AE1101" s="1"/>
    </row>
    <row r="1102" spans="18:31" ht="75" customHeight="1">
      <c r="R1102" s="1"/>
      <c r="S1102" s="1"/>
      <c r="AD1102" s="1"/>
      <c r="AE1102" s="1"/>
    </row>
    <row r="1103" spans="18:31" ht="75" customHeight="1">
      <c r="R1103" s="1"/>
      <c r="S1103" s="1"/>
      <c r="AD1103" s="1"/>
      <c r="AE1103" s="1"/>
    </row>
    <row r="1104" spans="18:31" ht="75" customHeight="1">
      <c r="R1104" s="1"/>
      <c r="S1104" s="1"/>
      <c r="AD1104" s="1"/>
      <c r="AE1104" s="1"/>
    </row>
    <row r="1105" spans="18:31" ht="75" customHeight="1">
      <c r="R1105" s="1"/>
      <c r="S1105" s="1"/>
      <c r="AD1105" s="1"/>
      <c r="AE1105" s="1"/>
    </row>
    <row r="1106" spans="18:31" ht="75" customHeight="1">
      <c r="R1106" s="1"/>
      <c r="S1106" s="1"/>
      <c r="AD1106" s="1"/>
      <c r="AE1106" s="1"/>
    </row>
    <row r="1107" spans="18:31" ht="75" customHeight="1">
      <c r="R1107" s="1"/>
      <c r="S1107" s="1"/>
      <c r="AD1107" s="1"/>
      <c r="AE1107" s="1"/>
    </row>
    <row r="1108" spans="18:31" ht="75" customHeight="1">
      <c r="R1108" s="1"/>
      <c r="S1108" s="1"/>
      <c r="AD1108" s="1"/>
      <c r="AE1108" s="1"/>
    </row>
    <row r="1109" spans="18:31" ht="75" customHeight="1">
      <c r="R1109" s="1"/>
      <c r="S1109" s="1"/>
      <c r="AD1109" s="1"/>
      <c r="AE1109" s="1"/>
    </row>
    <row r="1110" spans="18:31" ht="75" customHeight="1">
      <c r="R1110" s="1"/>
      <c r="S1110" s="1"/>
      <c r="AD1110" s="1"/>
      <c r="AE1110" s="1"/>
    </row>
    <row r="1111" spans="18:31" ht="75" customHeight="1">
      <c r="R1111" s="1"/>
      <c r="S1111" s="1"/>
      <c r="AD1111" s="1"/>
      <c r="AE1111" s="1"/>
    </row>
    <row r="1112" spans="18:31" ht="75" customHeight="1">
      <c r="R1112" s="1"/>
      <c r="S1112" s="1"/>
      <c r="AD1112" s="1"/>
      <c r="AE1112" s="1"/>
    </row>
    <row r="1113" spans="18:31" ht="75" customHeight="1">
      <c r="R1113" s="1"/>
      <c r="S1113" s="1"/>
      <c r="AD1113" s="1"/>
      <c r="AE1113" s="1"/>
    </row>
    <row r="1114" spans="18:31" ht="75" customHeight="1">
      <c r="R1114" s="1"/>
      <c r="S1114" s="1"/>
      <c r="AD1114" s="1"/>
      <c r="AE1114" s="1"/>
    </row>
    <row r="1115" spans="18:31" ht="75" customHeight="1">
      <c r="R1115" s="1"/>
      <c r="S1115" s="1"/>
      <c r="AD1115" s="1"/>
      <c r="AE1115" s="1"/>
    </row>
    <row r="1116" spans="18:31" ht="75" customHeight="1">
      <c r="R1116" s="1"/>
      <c r="S1116" s="1"/>
      <c r="AD1116" s="1"/>
      <c r="AE1116" s="1"/>
    </row>
    <row r="1117" spans="18:31" ht="75" customHeight="1">
      <c r="R1117" s="1"/>
      <c r="S1117" s="1"/>
      <c r="AD1117" s="1"/>
      <c r="AE1117" s="1"/>
    </row>
    <row r="1118" spans="18:31" ht="75" customHeight="1">
      <c r="R1118" s="1"/>
      <c r="S1118" s="1"/>
      <c r="AD1118" s="1"/>
      <c r="AE1118" s="1"/>
    </row>
    <row r="1119" spans="18:31" ht="75" customHeight="1">
      <c r="R1119" s="1"/>
      <c r="S1119" s="1"/>
      <c r="AD1119" s="1"/>
      <c r="AE1119" s="1"/>
    </row>
    <row r="1120" spans="18:31" ht="75" customHeight="1">
      <c r="R1120" s="1"/>
      <c r="S1120" s="1"/>
      <c r="AD1120" s="1"/>
      <c r="AE1120" s="1"/>
    </row>
    <row r="1121" spans="18:31" ht="75" customHeight="1">
      <c r="R1121" s="1"/>
      <c r="S1121" s="1"/>
      <c r="AD1121" s="1"/>
      <c r="AE1121" s="1"/>
    </row>
    <row r="1122" spans="18:31" ht="75" customHeight="1">
      <c r="R1122" s="1"/>
      <c r="S1122" s="1"/>
      <c r="AD1122" s="1"/>
      <c r="AE1122" s="1"/>
    </row>
    <row r="1123" spans="18:31" ht="75" customHeight="1">
      <c r="R1123" s="1"/>
      <c r="S1123" s="1"/>
      <c r="AD1123" s="1"/>
      <c r="AE1123" s="1"/>
    </row>
    <row r="1124" spans="18:31" ht="75" customHeight="1">
      <c r="R1124" s="1"/>
      <c r="S1124" s="1"/>
      <c r="AD1124" s="1"/>
      <c r="AE1124" s="1"/>
    </row>
    <row r="1125" spans="18:31" ht="75" customHeight="1">
      <c r="R1125" s="1"/>
      <c r="S1125" s="1"/>
      <c r="AD1125" s="1"/>
      <c r="AE1125" s="1"/>
    </row>
    <row r="1126" spans="18:31" ht="75" customHeight="1">
      <c r="R1126" s="1"/>
      <c r="S1126" s="1"/>
      <c r="AD1126" s="1"/>
      <c r="AE1126" s="1"/>
    </row>
    <row r="1127" spans="18:31" ht="75" customHeight="1">
      <c r="R1127" s="1"/>
      <c r="S1127" s="1"/>
      <c r="AD1127" s="1"/>
      <c r="AE1127" s="1"/>
    </row>
    <row r="1128" spans="18:31" ht="75" customHeight="1">
      <c r="R1128" s="1"/>
      <c r="S1128" s="1"/>
      <c r="AD1128" s="1"/>
      <c r="AE1128" s="1"/>
    </row>
    <row r="1129" spans="18:31" ht="75" customHeight="1">
      <c r="R1129" s="1"/>
      <c r="S1129" s="1"/>
      <c r="AD1129" s="1"/>
      <c r="AE1129" s="1"/>
    </row>
    <row r="1130" spans="18:31" ht="75" customHeight="1">
      <c r="R1130" s="1"/>
      <c r="S1130" s="1"/>
      <c r="AD1130" s="1"/>
      <c r="AE1130" s="1"/>
    </row>
    <row r="1131" spans="18:31" ht="75" customHeight="1">
      <c r="R1131" s="1"/>
      <c r="S1131" s="1"/>
      <c r="AD1131" s="1"/>
      <c r="AE1131" s="1"/>
    </row>
    <row r="1132" spans="18:31" ht="75" customHeight="1">
      <c r="R1132" s="1"/>
      <c r="S1132" s="1"/>
      <c r="AD1132" s="1"/>
      <c r="AE1132" s="1"/>
    </row>
    <row r="1133" spans="18:31" ht="75" customHeight="1">
      <c r="R1133" s="1"/>
      <c r="S1133" s="1"/>
      <c r="AD1133" s="1"/>
      <c r="AE1133" s="1"/>
    </row>
    <row r="1134" spans="18:31" ht="75" customHeight="1">
      <c r="R1134" s="1"/>
      <c r="S1134" s="1"/>
      <c r="AD1134" s="1"/>
      <c r="AE1134" s="1"/>
    </row>
    <row r="1135" spans="18:31" ht="75" customHeight="1">
      <c r="R1135" s="1"/>
      <c r="S1135" s="1"/>
      <c r="AD1135" s="1"/>
      <c r="AE1135" s="1"/>
    </row>
    <row r="1136" spans="18:31" ht="75" customHeight="1">
      <c r="R1136" s="1"/>
      <c r="S1136" s="1"/>
      <c r="AD1136" s="1"/>
      <c r="AE1136" s="1"/>
    </row>
    <row r="1137" spans="18:31" ht="75" customHeight="1">
      <c r="R1137" s="1"/>
      <c r="S1137" s="1"/>
      <c r="AD1137" s="1"/>
      <c r="AE1137" s="1"/>
    </row>
    <row r="1138" spans="18:31" ht="75" customHeight="1">
      <c r="R1138" s="1"/>
      <c r="S1138" s="1"/>
      <c r="AD1138" s="1"/>
      <c r="AE1138" s="1"/>
    </row>
    <row r="1139" spans="18:31" ht="75" customHeight="1">
      <c r="R1139" s="1"/>
      <c r="S1139" s="1"/>
      <c r="AD1139" s="1"/>
      <c r="AE1139" s="1"/>
    </row>
    <row r="1140" spans="18:31" ht="75" customHeight="1">
      <c r="R1140" s="1"/>
      <c r="S1140" s="1"/>
      <c r="AD1140" s="1"/>
      <c r="AE1140" s="1"/>
    </row>
    <row r="1141" spans="18:31" ht="75" customHeight="1">
      <c r="R1141" s="1"/>
      <c r="S1141" s="1"/>
      <c r="AD1141" s="1"/>
      <c r="AE1141" s="1"/>
    </row>
    <row r="1142" spans="18:31" ht="75" customHeight="1">
      <c r="R1142" s="1"/>
      <c r="S1142" s="1"/>
      <c r="AD1142" s="1"/>
      <c r="AE1142" s="1"/>
    </row>
    <row r="1143" spans="18:31" ht="75" customHeight="1">
      <c r="R1143" s="1"/>
      <c r="S1143" s="1"/>
      <c r="AD1143" s="1"/>
      <c r="AE1143" s="1"/>
    </row>
    <row r="1144" spans="18:31" ht="75" customHeight="1">
      <c r="R1144" s="1"/>
      <c r="S1144" s="1"/>
      <c r="AD1144" s="1"/>
      <c r="AE1144" s="1"/>
    </row>
    <row r="1145" spans="18:31" ht="75" customHeight="1">
      <c r="R1145" s="1"/>
      <c r="S1145" s="1"/>
      <c r="AD1145" s="1"/>
      <c r="AE1145" s="1"/>
    </row>
    <row r="1146" spans="18:31" ht="75" customHeight="1">
      <c r="R1146" s="1"/>
      <c r="S1146" s="1"/>
      <c r="AD1146" s="1"/>
      <c r="AE1146" s="1"/>
    </row>
    <row r="1147" spans="18:31" ht="75" customHeight="1">
      <c r="R1147" s="1"/>
      <c r="S1147" s="1"/>
      <c r="AD1147" s="1"/>
      <c r="AE1147" s="1"/>
    </row>
    <row r="1148" spans="18:31" ht="75" customHeight="1">
      <c r="R1148" s="1"/>
      <c r="S1148" s="1"/>
      <c r="AD1148" s="1"/>
      <c r="AE1148" s="1"/>
    </row>
    <row r="1149" spans="18:31" ht="75" customHeight="1">
      <c r="R1149" s="1"/>
      <c r="S1149" s="1"/>
      <c r="AD1149" s="1"/>
      <c r="AE1149" s="1"/>
    </row>
    <row r="1150" spans="18:31" ht="75" customHeight="1">
      <c r="R1150" s="1"/>
      <c r="S1150" s="1"/>
      <c r="AD1150" s="1"/>
      <c r="AE1150" s="1"/>
    </row>
    <row r="1151" spans="18:31" ht="75" customHeight="1">
      <c r="R1151" s="1"/>
      <c r="S1151" s="1"/>
      <c r="AD1151" s="1"/>
      <c r="AE1151" s="1"/>
    </row>
    <row r="1152" spans="18:31" ht="75" customHeight="1">
      <c r="R1152" s="1"/>
      <c r="S1152" s="1"/>
      <c r="AD1152" s="1"/>
      <c r="AE1152" s="1"/>
    </row>
    <row r="1153" spans="18:31" ht="75" customHeight="1">
      <c r="R1153" s="1"/>
      <c r="S1153" s="1"/>
      <c r="AD1153" s="1"/>
      <c r="AE1153" s="1"/>
    </row>
    <row r="1154" spans="18:31" ht="75" customHeight="1">
      <c r="R1154" s="1"/>
      <c r="S1154" s="1"/>
      <c r="AD1154" s="1"/>
      <c r="AE1154" s="1"/>
    </row>
    <row r="1155" spans="18:31" ht="75" customHeight="1">
      <c r="R1155" s="1"/>
      <c r="S1155" s="1"/>
      <c r="AD1155" s="1"/>
      <c r="AE1155" s="1"/>
    </row>
    <row r="1156" spans="18:31" ht="75" customHeight="1">
      <c r="R1156" s="1"/>
      <c r="S1156" s="1"/>
      <c r="AD1156" s="1"/>
      <c r="AE1156" s="1"/>
    </row>
    <row r="1157" spans="18:31" ht="75" customHeight="1">
      <c r="R1157" s="1"/>
      <c r="S1157" s="1"/>
      <c r="AD1157" s="1"/>
      <c r="AE1157" s="1"/>
    </row>
    <row r="1158" spans="18:31" ht="75" customHeight="1">
      <c r="R1158" s="1"/>
      <c r="S1158" s="1"/>
      <c r="AD1158" s="1"/>
      <c r="AE1158" s="1"/>
    </row>
    <row r="1159" spans="18:31" ht="75" customHeight="1">
      <c r="R1159" s="1"/>
      <c r="S1159" s="1"/>
      <c r="AD1159" s="1"/>
      <c r="AE1159" s="1"/>
    </row>
    <row r="1160" spans="18:31" ht="75" customHeight="1">
      <c r="R1160" s="1"/>
      <c r="S1160" s="1"/>
      <c r="AD1160" s="1"/>
      <c r="AE1160" s="1"/>
    </row>
    <row r="1161" spans="18:31" ht="75" customHeight="1">
      <c r="R1161" s="1"/>
      <c r="S1161" s="1"/>
      <c r="AD1161" s="1"/>
      <c r="AE1161" s="1"/>
    </row>
    <row r="1162" spans="18:31" ht="75" customHeight="1">
      <c r="R1162" s="1"/>
      <c r="S1162" s="1"/>
      <c r="AD1162" s="1"/>
      <c r="AE1162" s="1"/>
    </row>
    <row r="1163" spans="18:31" ht="75" customHeight="1">
      <c r="R1163" s="1"/>
      <c r="S1163" s="1"/>
      <c r="AD1163" s="1"/>
      <c r="AE1163" s="1"/>
    </row>
    <row r="1164" spans="18:31" ht="75" customHeight="1">
      <c r="R1164" s="1"/>
      <c r="S1164" s="1"/>
      <c r="AD1164" s="1"/>
      <c r="AE1164" s="1"/>
    </row>
    <row r="1165" spans="18:31" ht="75" customHeight="1">
      <c r="R1165" s="1"/>
      <c r="S1165" s="1"/>
      <c r="AD1165" s="1"/>
      <c r="AE1165" s="1"/>
    </row>
    <row r="1166" spans="18:31" ht="75" customHeight="1">
      <c r="R1166" s="1"/>
      <c r="S1166" s="1"/>
      <c r="AD1166" s="1"/>
      <c r="AE1166" s="1"/>
    </row>
    <row r="1167" spans="18:31" ht="75" customHeight="1">
      <c r="R1167" s="1"/>
      <c r="S1167" s="1"/>
      <c r="AD1167" s="1"/>
      <c r="AE1167" s="1"/>
    </row>
    <row r="1168" spans="18:31" ht="75" customHeight="1">
      <c r="R1168" s="1"/>
      <c r="S1168" s="1"/>
      <c r="AD1168" s="1"/>
      <c r="AE1168" s="1"/>
    </row>
    <row r="1169" spans="18:31" ht="75" customHeight="1">
      <c r="R1169" s="1"/>
      <c r="S1169" s="1"/>
      <c r="AD1169" s="1"/>
      <c r="AE1169" s="1"/>
    </row>
    <row r="1170" spans="18:31" ht="75" customHeight="1">
      <c r="R1170" s="1"/>
      <c r="S1170" s="1"/>
      <c r="AD1170" s="1"/>
      <c r="AE1170" s="1"/>
    </row>
    <row r="1171" spans="18:31" ht="75" customHeight="1">
      <c r="R1171" s="1"/>
      <c r="S1171" s="1"/>
      <c r="AD1171" s="1"/>
      <c r="AE1171" s="1"/>
    </row>
    <row r="1172" spans="18:31" ht="75" customHeight="1">
      <c r="R1172" s="1"/>
      <c r="S1172" s="1"/>
      <c r="AD1172" s="1"/>
      <c r="AE1172" s="1"/>
    </row>
    <row r="1173" spans="18:31" ht="75" customHeight="1">
      <c r="R1173" s="1"/>
      <c r="S1173" s="1"/>
      <c r="AD1173" s="1"/>
      <c r="AE1173" s="1"/>
    </row>
    <row r="1174" spans="18:31" ht="75" customHeight="1">
      <c r="R1174" s="1"/>
      <c r="S1174" s="1"/>
      <c r="AD1174" s="1"/>
      <c r="AE1174" s="1"/>
    </row>
    <row r="1175" spans="18:31" ht="75" customHeight="1">
      <c r="R1175" s="1"/>
      <c r="S1175" s="1"/>
      <c r="AD1175" s="1"/>
      <c r="AE1175" s="1"/>
    </row>
    <row r="1176" spans="18:31" ht="75" customHeight="1">
      <c r="R1176" s="1"/>
      <c r="S1176" s="1"/>
      <c r="AD1176" s="1"/>
      <c r="AE1176" s="1"/>
    </row>
    <row r="1177" spans="18:31" ht="75" customHeight="1">
      <c r="R1177" s="1"/>
      <c r="S1177" s="1"/>
      <c r="AD1177" s="1"/>
      <c r="AE1177" s="1"/>
    </row>
    <row r="1178" spans="18:31" ht="75" customHeight="1">
      <c r="R1178" s="1"/>
      <c r="S1178" s="1"/>
      <c r="AD1178" s="1"/>
      <c r="AE1178" s="1"/>
    </row>
    <row r="1179" spans="18:31" ht="75" customHeight="1">
      <c r="R1179" s="1"/>
      <c r="S1179" s="1"/>
      <c r="AD1179" s="1"/>
      <c r="AE1179" s="1"/>
    </row>
    <row r="1180" spans="18:31" ht="75" customHeight="1">
      <c r="R1180" s="1"/>
      <c r="S1180" s="1"/>
      <c r="AD1180" s="1"/>
      <c r="AE1180" s="1"/>
    </row>
    <row r="1181" spans="18:31" ht="75" customHeight="1">
      <c r="R1181" s="1"/>
      <c r="S1181" s="1"/>
      <c r="AD1181" s="1"/>
      <c r="AE1181" s="1"/>
    </row>
    <row r="1182" spans="18:31" ht="75" customHeight="1">
      <c r="R1182" s="1"/>
      <c r="S1182" s="1"/>
      <c r="AD1182" s="1"/>
      <c r="AE1182" s="1"/>
    </row>
    <row r="1183" spans="18:31" ht="75" customHeight="1">
      <c r="R1183" s="1"/>
      <c r="S1183" s="1"/>
      <c r="AD1183" s="1"/>
      <c r="AE1183" s="1"/>
    </row>
    <row r="1184" spans="18:31" ht="75" customHeight="1">
      <c r="R1184" s="1"/>
      <c r="S1184" s="1"/>
      <c r="AD1184" s="1"/>
      <c r="AE1184" s="1"/>
    </row>
    <row r="1185" spans="18:31" ht="75" customHeight="1">
      <c r="R1185" s="1"/>
      <c r="S1185" s="1"/>
      <c r="AD1185" s="1"/>
      <c r="AE1185" s="1"/>
    </row>
    <row r="1186" spans="18:31" ht="75" customHeight="1">
      <c r="R1186" s="1"/>
      <c r="S1186" s="1"/>
      <c r="AD1186" s="1"/>
      <c r="AE1186" s="1"/>
    </row>
    <row r="1187" spans="18:31" ht="75" customHeight="1">
      <c r="R1187" s="1"/>
      <c r="S1187" s="1"/>
      <c r="AD1187" s="1"/>
      <c r="AE1187" s="1"/>
    </row>
    <row r="1188" spans="18:31" ht="75" customHeight="1">
      <c r="R1188" s="1"/>
      <c r="S1188" s="1"/>
      <c r="AD1188" s="1"/>
      <c r="AE1188" s="1"/>
    </row>
    <row r="1189" spans="18:31" ht="75" customHeight="1">
      <c r="R1189" s="1"/>
      <c r="S1189" s="1"/>
      <c r="AD1189" s="1"/>
      <c r="AE1189" s="1"/>
    </row>
    <row r="1190" spans="18:31" ht="75" customHeight="1">
      <c r="R1190" s="1"/>
      <c r="S1190" s="1"/>
      <c r="AD1190" s="1"/>
      <c r="AE1190" s="1"/>
    </row>
    <row r="1191" spans="18:31" ht="75" customHeight="1">
      <c r="R1191" s="1"/>
      <c r="S1191" s="1"/>
      <c r="AD1191" s="1"/>
      <c r="AE1191" s="1"/>
    </row>
    <row r="1192" spans="18:31" ht="75" customHeight="1">
      <c r="R1192" s="1"/>
      <c r="S1192" s="1"/>
      <c r="AD1192" s="1"/>
      <c r="AE1192" s="1"/>
    </row>
    <row r="1193" spans="18:31" ht="75" customHeight="1">
      <c r="R1193" s="1"/>
      <c r="S1193" s="1"/>
      <c r="AD1193" s="1"/>
      <c r="AE1193" s="1"/>
    </row>
    <row r="1194" spans="18:31" ht="75" customHeight="1">
      <c r="R1194" s="1"/>
      <c r="S1194" s="1"/>
      <c r="AD1194" s="1"/>
      <c r="AE1194" s="1"/>
    </row>
    <row r="1195" spans="18:31" ht="75" customHeight="1">
      <c r="R1195" s="1"/>
      <c r="S1195" s="1"/>
      <c r="AD1195" s="1"/>
      <c r="AE1195" s="1"/>
    </row>
    <row r="1196" spans="18:31" ht="75" customHeight="1">
      <c r="R1196" s="1"/>
      <c r="S1196" s="1"/>
      <c r="AD1196" s="1"/>
      <c r="AE1196" s="1"/>
    </row>
    <row r="1197" spans="18:31" ht="75" customHeight="1">
      <c r="R1197" s="1"/>
      <c r="S1197" s="1"/>
      <c r="AD1197" s="1"/>
      <c r="AE1197" s="1"/>
    </row>
    <row r="1198" spans="18:31" ht="75" customHeight="1">
      <c r="R1198" s="1"/>
      <c r="S1198" s="1"/>
      <c r="AD1198" s="1"/>
      <c r="AE1198" s="1"/>
    </row>
    <row r="1199" spans="18:31" ht="75" customHeight="1">
      <c r="R1199" s="1"/>
      <c r="S1199" s="1"/>
      <c r="AD1199" s="1"/>
      <c r="AE1199" s="1"/>
    </row>
    <row r="1200" spans="18:31" ht="75" customHeight="1">
      <c r="R1200" s="1"/>
      <c r="S1200" s="1"/>
      <c r="AD1200" s="1"/>
      <c r="AE1200" s="1"/>
    </row>
    <row r="1201" spans="18:31" ht="75" customHeight="1">
      <c r="R1201" s="1"/>
      <c r="S1201" s="1"/>
      <c r="AD1201" s="1"/>
      <c r="AE1201" s="1"/>
    </row>
    <row r="1202" spans="18:31" ht="75" customHeight="1">
      <c r="R1202" s="1"/>
      <c r="S1202" s="1"/>
      <c r="AD1202" s="1"/>
      <c r="AE1202" s="1"/>
    </row>
    <row r="1203" spans="18:31" ht="75" customHeight="1">
      <c r="R1203" s="1"/>
      <c r="S1203" s="1"/>
      <c r="AD1203" s="1"/>
      <c r="AE1203" s="1"/>
    </row>
    <row r="1204" spans="18:31" ht="75" customHeight="1">
      <c r="R1204" s="1"/>
      <c r="S1204" s="1"/>
      <c r="AD1204" s="1"/>
      <c r="AE1204" s="1"/>
    </row>
    <row r="1205" spans="18:31" ht="75" customHeight="1">
      <c r="R1205" s="1"/>
      <c r="S1205" s="1"/>
      <c r="AD1205" s="1"/>
      <c r="AE1205" s="1"/>
    </row>
    <row r="1206" spans="18:31" ht="75" customHeight="1">
      <c r="R1206" s="1"/>
      <c r="S1206" s="1"/>
      <c r="AD1206" s="1"/>
      <c r="AE1206" s="1"/>
    </row>
    <row r="1207" spans="18:31" ht="75" customHeight="1">
      <c r="R1207" s="1"/>
      <c r="S1207" s="1"/>
      <c r="AD1207" s="1"/>
      <c r="AE1207" s="1"/>
    </row>
    <row r="1208" spans="18:31" ht="75" customHeight="1">
      <c r="R1208" s="1"/>
      <c r="S1208" s="1"/>
      <c r="AD1208" s="1"/>
      <c r="AE1208" s="1"/>
    </row>
    <row r="1209" spans="18:31" ht="75" customHeight="1">
      <c r="R1209" s="1"/>
      <c r="S1209" s="1"/>
      <c r="AD1209" s="1"/>
      <c r="AE1209" s="1"/>
    </row>
    <row r="1210" spans="18:31" ht="75" customHeight="1">
      <c r="R1210" s="1"/>
      <c r="S1210" s="1"/>
      <c r="AD1210" s="1"/>
      <c r="AE1210" s="1"/>
    </row>
    <row r="1211" spans="18:31" ht="75" customHeight="1">
      <c r="R1211" s="1"/>
      <c r="S1211" s="1"/>
      <c r="AD1211" s="1"/>
      <c r="AE1211" s="1"/>
    </row>
    <row r="1212" spans="18:31" ht="75" customHeight="1">
      <c r="R1212" s="1"/>
      <c r="S1212" s="1"/>
      <c r="AD1212" s="1"/>
      <c r="AE1212" s="1"/>
    </row>
    <row r="1213" spans="18:31" ht="75" customHeight="1">
      <c r="R1213" s="1"/>
      <c r="S1213" s="1"/>
      <c r="AD1213" s="1"/>
      <c r="AE1213" s="1"/>
    </row>
    <row r="1214" spans="18:31" ht="75" customHeight="1">
      <c r="R1214" s="1"/>
      <c r="S1214" s="1"/>
      <c r="AD1214" s="1"/>
      <c r="AE1214" s="1"/>
    </row>
    <row r="1215" spans="18:31" ht="75" customHeight="1">
      <c r="R1215" s="1"/>
      <c r="S1215" s="1"/>
      <c r="AD1215" s="1"/>
      <c r="AE1215" s="1"/>
    </row>
    <row r="1216" spans="18:31" ht="75" customHeight="1">
      <c r="R1216" s="1"/>
      <c r="S1216" s="1"/>
      <c r="AD1216" s="1"/>
      <c r="AE1216" s="1"/>
    </row>
    <row r="1217" spans="18:31" ht="75" customHeight="1">
      <c r="R1217" s="1"/>
      <c r="S1217" s="1"/>
      <c r="AD1217" s="1"/>
      <c r="AE1217" s="1"/>
    </row>
    <row r="1218" spans="18:31" ht="75" customHeight="1">
      <c r="R1218" s="1"/>
      <c r="S1218" s="1"/>
      <c r="AD1218" s="1"/>
      <c r="AE1218" s="1"/>
    </row>
    <row r="1219" spans="18:31" ht="75" customHeight="1">
      <c r="R1219" s="1"/>
      <c r="S1219" s="1"/>
      <c r="AD1219" s="1"/>
      <c r="AE1219" s="1"/>
    </row>
    <row r="1220" spans="18:31" ht="75" customHeight="1">
      <c r="R1220" s="1"/>
      <c r="S1220" s="1"/>
      <c r="AD1220" s="1"/>
      <c r="AE1220" s="1"/>
    </row>
    <row r="1221" spans="18:31" ht="75" customHeight="1">
      <c r="R1221" s="1"/>
      <c r="S1221" s="1"/>
      <c r="AD1221" s="1"/>
      <c r="AE1221" s="1"/>
    </row>
    <row r="1222" spans="18:31" ht="75" customHeight="1">
      <c r="R1222" s="1"/>
      <c r="S1222" s="1"/>
      <c r="AD1222" s="1"/>
      <c r="AE1222" s="1"/>
    </row>
    <row r="1223" spans="18:31" ht="75" customHeight="1">
      <c r="R1223" s="1"/>
      <c r="S1223" s="1"/>
      <c r="AD1223" s="1"/>
      <c r="AE1223" s="1"/>
    </row>
    <row r="1224" spans="18:31" ht="75" customHeight="1">
      <c r="R1224" s="1"/>
      <c r="S1224" s="1"/>
      <c r="AD1224" s="1"/>
      <c r="AE1224" s="1"/>
    </row>
    <row r="1225" spans="18:31" ht="75" customHeight="1">
      <c r="R1225" s="1"/>
      <c r="S1225" s="1"/>
      <c r="AD1225" s="1"/>
      <c r="AE1225" s="1"/>
    </row>
    <row r="1226" spans="18:31" ht="75" customHeight="1">
      <c r="R1226" s="1"/>
      <c r="S1226" s="1"/>
      <c r="AD1226" s="1"/>
      <c r="AE1226" s="1"/>
    </row>
    <row r="1227" spans="18:31" ht="75" customHeight="1">
      <c r="R1227" s="1"/>
      <c r="S1227" s="1"/>
      <c r="AD1227" s="1"/>
      <c r="AE1227" s="1"/>
    </row>
    <row r="1228" spans="18:31" ht="75" customHeight="1">
      <c r="R1228" s="1"/>
      <c r="S1228" s="1"/>
      <c r="AD1228" s="1"/>
      <c r="AE1228" s="1"/>
    </row>
    <row r="1229" spans="18:31" ht="75" customHeight="1">
      <c r="R1229" s="1"/>
      <c r="S1229" s="1"/>
      <c r="AD1229" s="1"/>
      <c r="AE1229" s="1"/>
    </row>
    <row r="1230" spans="18:31" ht="75" customHeight="1">
      <c r="R1230" s="1"/>
      <c r="S1230" s="1"/>
      <c r="AD1230" s="1"/>
      <c r="AE1230" s="1"/>
    </row>
    <row r="1231" spans="18:31" ht="75" customHeight="1">
      <c r="R1231" s="1"/>
      <c r="S1231" s="1"/>
      <c r="AD1231" s="1"/>
      <c r="AE1231" s="1"/>
    </row>
    <row r="1232" spans="18:31" ht="75" customHeight="1">
      <c r="R1232" s="1"/>
      <c r="S1232" s="1"/>
      <c r="AD1232" s="1"/>
      <c r="AE1232" s="1"/>
    </row>
    <row r="1233" spans="18:31" ht="75" customHeight="1">
      <c r="R1233" s="1"/>
      <c r="S1233" s="1"/>
      <c r="AD1233" s="1"/>
      <c r="AE1233" s="1"/>
    </row>
    <row r="1234" spans="18:31" ht="75" customHeight="1">
      <c r="R1234" s="1"/>
      <c r="S1234" s="1"/>
      <c r="AD1234" s="1"/>
      <c r="AE1234" s="1"/>
    </row>
    <row r="1235" spans="18:31" ht="75" customHeight="1">
      <c r="R1235" s="1"/>
      <c r="S1235" s="1"/>
      <c r="AD1235" s="1"/>
      <c r="AE1235" s="1"/>
    </row>
    <row r="1236" spans="18:31" ht="75" customHeight="1">
      <c r="R1236" s="1"/>
      <c r="S1236" s="1"/>
      <c r="AD1236" s="1"/>
      <c r="AE1236" s="1"/>
    </row>
    <row r="1237" spans="18:31" ht="75" customHeight="1">
      <c r="R1237" s="1"/>
      <c r="S1237" s="1"/>
      <c r="AD1237" s="1"/>
      <c r="AE1237" s="1"/>
    </row>
    <row r="1238" spans="18:31" ht="75" customHeight="1">
      <c r="R1238" s="1"/>
      <c r="S1238" s="1"/>
      <c r="AD1238" s="1"/>
      <c r="AE1238" s="1"/>
    </row>
    <row r="1239" spans="18:31" ht="75" customHeight="1">
      <c r="R1239" s="1"/>
      <c r="S1239" s="1"/>
      <c r="AD1239" s="1"/>
      <c r="AE1239" s="1"/>
    </row>
    <row r="1240" spans="18:31" ht="75" customHeight="1">
      <c r="R1240" s="1"/>
      <c r="S1240" s="1"/>
      <c r="AD1240" s="1"/>
      <c r="AE1240" s="1"/>
    </row>
    <row r="1241" spans="18:31" ht="75" customHeight="1">
      <c r="R1241" s="1"/>
      <c r="S1241" s="1"/>
      <c r="AD1241" s="1"/>
      <c r="AE1241" s="1"/>
    </row>
    <row r="1242" spans="18:31" ht="75" customHeight="1">
      <c r="R1242" s="1"/>
      <c r="S1242" s="1"/>
      <c r="AD1242" s="1"/>
      <c r="AE1242" s="1"/>
    </row>
    <row r="1243" spans="18:31" ht="75" customHeight="1">
      <c r="R1243" s="1"/>
      <c r="S1243" s="1"/>
      <c r="AD1243" s="1"/>
      <c r="AE1243" s="1"/>
    </row>
    <row r="1244" spans="18:31" ht="75" customHeight="1">
      <c r="R1244" s="1"/>
      <c r="S1244" s="1"/>
      <c r="AD1244" s="1"/>
      <c r="AE1244" s="1"/>
    </row>
    <row r="1245" spans="18:31" ht="75" customHeight="1">
      <c r="R1245" s="1"/>
      <c r="S1245" s="1"/>
      <c r="AD1245" s="1"/>
      <c r="AE1245" s="1"/>
    </row>
    <row r="1246" spans="18:31" ht="75" customHeight="1">
      <c r="R1246" s="1"/>
      <c r="S1246" s="1"/>
      <c r="AD1246" s="1"/>
      <c r="AE1246" s="1"/>
    </row>
    <row r="1247" spans="18:31" ht="75" customHeight="1">
      <c r="R1247" s="1"/>
      <c r="S1247" s="1"/>
      <c r="AD1247" s="1"/>
      <c r="AE1247" s="1"/>
    </row>
    <row r="1248" spans="18:31" ht="75" customHeight="1">
      <c r="R1248" s="1"/>
      <c r="S1248" s="1"/>
      <c r="AD1248" s="1"/>
      <c r="AE1248" s="1"/>
    </row>
    <row r="1249" spans="18:31" ht="75" customHeight="1">
      <c r="R1249" s="1"/>
      <c r="S1249" s="1"/>
      <c r="AD1249" s="1"/>
      <c r="AE1249" s="1"/>
    </row>
    <row r="1250" spans="18:31" ht="75" customHeight="1">
      <c r="R1250" s="1"/>
      <c r="S1250" s="1"/>
      <c r="AD1250" s="1"/>
      <c r="AE1250" s="1"/>
    </row>
    <row r="1251" spans="18:31" ht="75" customHeight="1">
      <c r="R1251" s="1"/>
      <c r="S1251" s="1"/>
      <c r="AD1251" s="1"/>
      <c r="AE1251" s="1"/>
    </row>
    <row r="1252" spans="18:31" ht="75" customHeight="1">
      <c r="R1252" s="1"/>
      <c r="S1252" s="1"/>
      <c r="AD1252" s="1"/>
      <c r="AE1252" s="1"/>
    </row>
    <row r="1253" spans="18:31" ht="75" customHeight="1">
      <c r="R1253" s="1"/>
      <c r="S1253" s="1"/>
      <c r="AD1253" s="1"/>
      <c r="AE1253" s="1"/>
    </row>
    <row r="1254" spans="18:31" ht="75" customHeight="1">
      <c r="R1254" s="1"/>
      <c r="S1254" s="1"/>
      <c r="AD1254" s="1"/>
      <c r="AE1254" s="1"/>
    </row>
    <row r="1255" spans="18:31" ht="75" customHeight="1">
      <c r="R1255" s="1"/>
      <c r="S1255" s="1"/>
      <c r="AD1255" s="1"/>
      <c r="AE1255" s="1"/>
    </row>
    <row r="1256" spans="18:31" ht="75" customHeight="1">
      <c r="R1256" s="1"/>
      <c r="S1256" s="1"/>
      <c r="AD1256" s="1"/>
      <c r="AE1256" s="1"/>
    </row>
    <row r="1257" spans="18:31" ht="75" customHeight="1">
      <c r="R1257" s="1"/>
      <c r="S1257" s="1"/>
      <c r="AD1257" s="1"/>
      <c r="AE1257" s="1"/>
    </row>
    <row r="1258" spans="18:31" ht="75" customHeight="1">
      <c r="R1258" s="1"/>
      <c r="S1258" s="1"/>
      <c r="AD1258" s="1"/>
      <c r="AE1258" s="1"/>
    </row>
    <row r="1259" spans="18:31" ht="75" customHeight="1">
      <c r="R1259" s="1"/>
      <c r="S1259" s="1"/>
      <c r="AD1259" s="1"/>
      <c r="AE1259" s="1"/>
    </row>
    <row r="1260" spans="18:31" ht="75" customHeight="1">
      <c r="R1260" s="1"/>
      <c r="S1260" s="1"/>
      <c r="AD1260" s="1"/>
      <c r="AE1260" s="1"/>
    </row>
    <row r="1261" spans="18:31" ht="75" customHeight="1">
      <c r="R1261" s="1"/>
      <c r="S1261" s="1"/>
      <c r="AD1261" s="1"/>
      <c r="AE1261" s="1"/>
    </row>
    <row r="1262" spans="18:31" ht="75" customHeight="1">
      <c r="R1262" s="1"/>
      <c r="S1262" s="1"/>
      <c r="AD1262" s="1"/>
      <c r="AE1262" s="1"/>
    </row>
    <row r="1263" spans="18:31" ht="75" customHeight="1">
      <c r="R1263" s="1"/>
      <c r="S1263" s="1"/>
      <c r="AD1263" s="1"/>
      <c r="AE1263" s="1"/>
    </row>
    <row r="1264" spans="18:31" ht="75" customHeight="1">
      <c r="R1264" s="1"/>
      <c r="S1264" s="1"/>
      <c r="AD1264" s="1"/>
      <c r="AE1264" s="1"/>
    </row>
    <row r="1265" spans="18:31" ht="75" customHeight="1">
      <c r="R1265" s="1"/>
      <c r="S1265" s="1"/>
      <c r="AD1265" s="1"/>
      <c r="AE1265" s="1"/>
    </row>
    <row r="1266" spans="18:31" ht="75" customHeight="1">
      <c r="R1266" s="1"/>
      <c r="S1266" s="1"/>
      <c r="AD1266" s="1"/>
      <c r="AE1266" s="1"/>
    </row>
    <row r="1267" spans="18:31" ht="75" customHeight="1">
      <c r="R1267" s="1"/>
      <c r="S1267" s="1"/>
      <c r="AD1267" s="1"/>
      <c r="AE1267" s="1"/>
    </row>
    <row r="1268" spans="18:31" ht="75" customHeight="1">
      <c r="R1268" s="1"/>
      <c r="S1268" s="1"/>
      <c r="AD1268" s="1"/>
      <c r="AE1268" s="1"/>
    </row>
    <row r="1269" spans="18:31" ht="75" customHeight="1">
      <c r="R1269" s="1"/>
      <c r="S1269" s="1"/>
      <c r="AD1269" s="1"/>
      <c r="AE1269" s="1"/>
    </row>
    <row r="1270" spans="18:31" ht="75" customHeight="1">
      <c r="R1270" s="1"/>
      <c r="S1270" s="1"/>
      <c r="AD1270" s="1"/>
      <c r="AE1270" s="1"/>
    </row>
    <row r="1271" spans="18:31" ht="75" customHeight="1">
      <c r="R1271" s="1"/>
      <c r="S1271" s="1"/>
      <c r="AD1271" s="1"/>
      <c r="AE1271" s="1"/>
    </row>
    <row r="1272" spans="18:31" ht="75" customHeight="1">
      <c r="R1272" s="1"/>
      <c r="S1272" s="1"/>
      <c r="AD1272" s="1"/>
      <c r="AE1272" s="1"/>
    </row>
    <row r="1273" spans="18:31" ht="75" customHeight="1">
      <c r="R1273" s="1"/>
      <c r="S1273" s="1"/>
      <c r="AD1273" s="1"/>
      <c r="AE1273" s="1"/>
    </row>
    <row r="1274" spans="18:31" ht="75" customHeight="1">
      <c r="R1274" s="1"/>
      <c r="S1274" s="1"/>
      <c r="AD1274" s="1"/>
      <c r="AE1274" s="1"/>
    </row>
    <row r="1275" spans="18:31" ht="75" customHeight="1">
      <c r="R1275" s="1"/>
      <c r="S1275" s="1"/>
      <c r="AD1275" s="1"/>
      <c r="AE1275" s="1"/>
    </row>
    <row r="1276" spans="18:31" ht="75" customHeight="1">
      <c r="R1276" s="1"/>
      <c r="S1276" s="1"/>
      <c r="AD1276" s="1"/>
      <c r="AE1276" s="1"/>
    </row>
    <row r="1277" spans="18:31" ht="75" customHeight="1">
      <c r="R1277" s="1"/>
      <c r="S1277" s="1"/>
      <c r="AD1277" s="1"/>
      <c r="AE1277" s="1"/>
    </row>
    <row r="1278" spans="18:31" ht="75" customHeight="1">
      <c r="R1278" s="1"/>
      <c r="S1278" s="1"/>
      <c r="AD1278" s="1"/>
      <c r="AE1278" s="1"/>
    </row>
    <row r="1279" spans="18:31" ht="75" customHeight="1">
      <c r="R1279" s="1"/>
      <c r="S1279" s="1"/>
      <c r="AD1279" s="1"/>
      <c r="AE1279" s="1"/>
    </row>
    <row r="1280" spans="18:31" ht="75" customHeight="1">
      <c r="R1280" s="1"/>
      <c r="S1280" s="1"/>
      <c r="AD1280" s="1"/>
      <c r="AE1280" s="1"/>
    </row>
    <row r="1281" spans="18:31" ht="75" customHeight="1">
      <c r="R1281" s="1"/>
      <c r="S1281" s="1"/>
      <c r="AD1281" s="1"/>
      <c r="AE1281" s="1"/>
    </row>
    <row r="1282" spans="18:31" ht="75" customHeight="1">
      <c r="R1282" s="1"/>
      <c r="S1282" s="1"/>
      <c r="AD1282" s="1"/>
      <c r="AE1282" s="1"/>
    </row>
    <row r="1283" spans="18:31" ht="75" customHeight="1">
      <c r="R1283" s="1"/>
      <c r="S1283" s="1"/>
      <c r="AD1283" s="1"/>
      <c r="AE1283" s="1"/>
    </row>
    <row r="1284" spans="18:31" ht="75" customHeight="1">
      <c r="R1284" s="1"/>
      <c r="S1284" s="1"/>
      <c r="AD1284" s="1"/>
      <c r="AE1284" s="1"/>
    </row>
    <row r="1285" spans="18:31" ht="75" customHeight="1">
      <c r="R1285" s="1"/>
      <c r="S1285" s="1"/>
      <c r="AD1285" s="1"/>
      <c r="AE1285" s="1"/>
    </row>
    <row r="1286" spans="18:31" ht="75" customHeight="1">
      <c r="R1286" s="1"/>
      <c r="S1286" s="1"/>
      <c r="AD1286" s="1"/>
      <c r="AE1286" s="1"/>
    </row>
    <row r="1287" spans="18:31" ht="75" customHeight="1">
      <c r="R1287" s="1"/>
      <c r="S1287" s="1"/>
      <c r="AD1287" s="1"/>
      <c r="AE1287" s="1"/>
    </row>
    <row r="1288" spans="18:31" ht="75" customHeight="1">
      <c r="R1288" s="1"/>
      <c r="S1288" s="1"/>
      <c r="AD1288" s="1"/>
      <c r="AE1288" s="1"/>
    </row>
    <row r="1289" spans="18:31" ht="75" customHeight="1">
      <c r="R1289" s="1"/>
      <c r="S1289" s="1"/>
      <c r="AD1289" s="1"/>
      <c r="AE1289" s="1"/>
    </row>
    <row r="1290" spans="18:31" ht="75" customHeight="1">
      <c r="R1290" s="1"/>
      <c r="S1290" s="1"/>
      <c r="AD1290" s="1"/>
      <c r="AE1290" s="1"/>
    </row>
    <row r="1291" spans="18:31" ht="75" customHeight="1">
      <c r="R1291" s="1"/>
      <c r="S1291" s="1"/>
      <c r="AD1291" s="1"/>
      <c r="AE1291" s="1"/>
    </row>
    <row r="1292" spans="18:31" ht="75" customHeight="1">
      <c r="R1292" s="1"/>
      <c r="S1292" s="1"/>
      <c r="AD1292" s="1"/>
      <c r="AE1292" s="1"/>
    </row>
    <row r="1293" spans="18:31" ht="75" customHeight="1">
      <c r="R1293" s="1"/>
      <c r="S1293" s="1"/>
      <c r="AD1293" s="1"/>
      <c r="AE1293" s="1"/>
    </row>
    <row r="1294" spans="18:31" ht="75" customHeight="1">
      <c r="R1294" s="1"/>
      <c r="S1294" s="1"/>
      <c r="AD1294" s="1"/>
      <c r="AE1294" s="1"/>
    </row>
    <row r="1295" spans="18:31" ht="75" customHeight="1">
      <c r="R1295" s="1"/>
      <c r="S1295" s="1"/>
      <c r="AD1295" s="1"/>
      <c r="AE1295" s="1"/>
    </row>
    <row r="1296" spans="18:31" ht="75" customHeight="1">
      <c r="R1296" s="1"/>
      <c r="S1296" s="1"/>
      <c r="AD1296" s="1"/>
      <c r="AE1296" s="1"/>
    </row>
    <row r="1297" spans="18:31" ht="75" customHeight="1">
      <c r="R1297" s="1"/>
      <c r="S1297" s="1"/>
      <c r="AD1297" s="1"/>
      <c r="AE1297" s="1"/>
    </row>
    <row r="1298" spans="18:31" ht="75" customHeight="1">
      <c r="R1298" s="1"/>
      <c r="S1298" s="1"/>
      <c r="AD1298" s="1"/>
      <c r="AE1298" s="1"/>
    </row>
    <row r="1299" spans="18:31" ht="75" customHeight="1">
      <c r="R1299" s="1"/>
      <c r="S1299" s="1"/>
      <c r="AD1299" s="1"/>
      <c r="AE1299" s="1"/>
    </row>
    <row r="1300" spans="18:31" ht="75" customHeight="1">
      <c r="R1300" s="1"/>
      <c r="S1300" s="1"/>
      <c r="AD1300" s="1"/>
      <c r="AE1300" s="1"/>
    </row>
    <row r="1301" spans="18:31" ht="75" customHeight="1">
      <c r="R1301" s="1"/>
      <c r="S1301" s="1"/>
      <c r="AD1301" s="1"/>
      <c r="AE1301" s="1"/>
    </row>
    <row r="1302" spans="18:31" ht="75" customHeight="1">
      <c r="R1302" s="1"/>
      <c r="S1302" s="1"/>
      <c r="AD1302" s="1"/>
      <c r="AE1302" s="1"/>
    </row>
    <row r="1303" spans="18:31" ht="75" customHeight="1">
      <c r="R1303" s="1"/>
      <c r="S1303" s="1"/>
      <c r="AD1303" s="1"/>
      <c r="AE1303" s="1"/>
    </row>
    <row r="1304" spans="18:31" ht="75" customHeight="1">
      <c r="R1304" s="1"/>
      <c r="S1304" s="1"/>
      <c r="AD1304" s="1"/>
      <c r="AE1304" s="1"/>
    </row>
    <row r="1305" spans="18:31" ht="75" customHeight="1">
      <c r="R1305" s="1"/>
      <c r="S1305" s="1"/>
      <c r="AD1305" s="1"/>
      <c r="AE1305" s="1"/>
    </row>
    <row r="1306" spans="18:31" ht="75" customHeight="1">
      <c r="R1306" s="1"/>
      <c r="S1306" s="1"/>
      <c r="AD1306" s="1"/>
      <c r="AE1306" s="1"/>
    </row>
    <row r="1307" spans="18:31" ht="75" customHeight="1">
      <c r="R1307" s="1"/>
      <c r="S1307" s="1"/>
      <c r="AD1307" s="1"/>
      <c r="AE1307" s="1"/>
    </row>
    <row r="1308" spans="18:31" ht="75" customHeight="1">
      <c r="R1308" s="1"/>
      <c r="S1308" s="1"/>
      <c r="AD1308" s="1"/>
      <c r="AE1308" s="1"/>
    </row>
    <row r="1309" spans="18:31" ht="75" customHeight="1">
      <c r="R1309" s="1"/>
      <c r="S1309" s="1"/>
      <c r="AD1309" s="1"/>
      <c r="AE1309" s="1"/>
    </row>
    <row r="1310" spans="18:31" ht="75" customHeight="1">
      <c r="R1310" s="1"/>
      <c r="S1310" s="1"/>
      <c r="AD1310" s="1"/>
      <c r="AE1310" s="1"/>
    </row>
    <row r="1311" spans="18:31" ht="75" customHeight="1">
      <c r="R1311" s="1"/>
      <c r="S1311" s="1"/>
      <c r="AD1311" s="1"/>
      <c r="AE1311" s="1"/>
    </row>
    <row r="1312" spans="18:31" ht="75" customHeight="1">
      <c r="R1312" s="1"/>
      <c r="S1312" s="1"/>
      <c r="AD1312" s="1"/>
      <c r="AE1312" s="1"/>
    </row>
    <row r="1313" spans="18:31" ht="75" customHeight="1">
      <c r="R1313" s="1"/>
      <c r="S1313" s="1"/>
      <c r="AD1313" s="1"/>
      <c r="AE1313" s="1"/>
    </row>
    <row r="1314" spans="18:31" ht="75" customHeight="1">
      <c r="R1314" s="1"/>
      <c r="S1314" s="1"/>
      <c r="AD1314" s="1"/>
      <c r="AE1314" s="1"/>
    </row>
    <row r="1315" spans="18:31" ht="75" customHeight="1">
      <c r="R1315" s="1"/>
      <c r="S1315" s="1"/>
      <c r="AD1315" s="1"/>
      <c r="AE1315" s="1"/>
    </row>
    <row r="1316" spans="18:31" ht="75" customHeight="1">
      <c r="R1316" s="1"/>
      <c r="S1316" s="1"/>
      <c r="AD1316" s="1"/>
      <c r="AE1316" s="1"/>
    </row>
    <row r="1317" spans="18:31" ht="75" customHeight="1">
      <c r="R1317" s="1"/>
      <c r="S1317" s="1"/>
      <c r="AD1317" s="1"/>
      <c r="AE1317" s="1"/>
    </row>
    <row r="1318" spans="18:31" ht="75" customHeight="1">
      <c r="R1318" s="1"/>
      <c r="S1318" s="1"/>
      <c r="AD1318" s="1"/>
      <c r="AE1318" s="1"/>
    </row>
    <row r="1319" spans="18:31" ht="75" customHeight="1">
      <c r="R1319" s="1"/>
      <c r="S1319" s="1"/>
      <c r="AD1319" s="1"/>
      <c r="AE1319" s="1"/>
    </row>
    <row r="1320" spans="18:31" ht="75" customHeight="1">
      <c r="R1320" s="1"/>
      <c r="S1320" s="1"/>
      <c r="AD1320" s="1"/>
      <c r="AE1320" s="1"/>
    </row>
    <row r="1321" spans="18:31" ht="75" customHeight="1">
      <c r="R1321" s="1"/>
      <c r="S1321" s="1"/>
      <c r="AD1321" s="1"/>
      <c r="AE1321" s="1"/>
    </row>
    <row r="1322" spans="18:31" ht="75" customHeight="1">
      <c r="R1322" s="1"/>
      <c r="S1322" s="1"/>
      <c r="AD1322" s="1"/>
      <c r="AE1322" s="1"/>
    </row>
    <row r="1323" spans="18:31" ht="75" customHeight="1">
      <c r="R1323" s="1"/>
      <c r="S1323" s="1"/>
      <c r="AD1323" s="1"/>
      <c r="AE1323" s="1"/>
    </row>
    <row r="1324" spans="18:31" ht="75" customHeight="1">
      <c r="R1324" s="1"/>
      <c r="S1324" s="1"/>
      <c r="AD1324" s="1"/>
      <c r="AE1324" s="1"/>
    </row>
    <row r="1325" spans="18:31" ht="75" customHeight="1">
      <c r="R1325" s="1"/>
      <c r="S1325" s="1"/>
      <c r="AD1325" s="1"/>
      <c r="AE1325" s="1"/>
    </row>
    <row r="1326" spans="18:31" ht="75" customHeight="1">
      <c r="R1326" s="1"/>
      <c r="S1326" s="1"/>
      <c r="AD1326" s="1"/>
      <c r="AE1326" s="1"/>
    </row>
    <row r="1327" spans="18:31" ht="75" customHeight="1">
      <c r="R1327" s="1"/>
      <c r="S1327" s="1"/>
      <c r="AD1327" s="1"/>
      <c r="AE1327" s="1"/>
    </row>
    <row r="1328" spans="18:31" ht="75" customHeight="1">
      <c r="R1328" s="1"/>
      <c r="S1328" s="1"/>
      <c r="AD1328" s="1"/>
      <c r="AE1328" s="1"/>
    </row>
    <row r="1329" spans="18:31" ht="75" customHeight="1">
      <c r="R1329" s="1"/>
      <c r="S1329" s="1"/>
      <c r="AD1329" s="1"/>
      <c r="AE1329" s="1"/>
    </row>
    <row r="1330" spans="18:31" ht="75" customHeight="1">
      <c r="R1330" s="1"/>
      <c r="S1330" s="1"/>
      <c r="AD1330" s="1"/>
      <c r="AE1330" s="1"/>
    </row>
    <row r="1331" spans="18:31" ht="75" customHeight="1">
      <c r="R1331" s="1"/>
      <c r="S1331" s="1"/>
      <c r="AD1331" s="1"/>
      <c r="AE1331" s="1"/>
    </row>
    <row r="1332" spans="18:31" ht="75" customHeight="1">
      <c r="R1332" s="1"/>
      <c r="S1332" s="1"/>
      <c r="AD1332" s="1"/>
      <c r="AE1332" s="1"/>
    </row>
    <row r="1333" spans="18:31" ht="75" customHeight="1">
      <c r="R1333" s="1"/>
      <c r="S1333" s="1"/>
      <c r="AD1333" s="1"/>
      <c r="AE1333" s="1"/>
    </row>
    <row r="1334" spans="18:31" ht="75" customHeight="1">
      <c r="R1334" s="1"/>
      <c r="S1334" s="1"/>
      <c r="AD1334" s="1"/>
      <c r="AE1334" s="1"/>
    </row>
    <row r="1335" spans="18:31" ht="75" customHeight="1">
      <c r="R1335" s="1"/>
      <c r="S1335" s="1"/>
      <c r="AD1335" s="1"/>
      <c r="AE1335" s="1"/>
    </row>
    <row r="1336" spans="18:31" ht="75" customHeight="1">
      <c r="R1336" s="1"/>
      <c r="S1336" s="1"/>
      <c r="AD1336" s="1"/>
      <c r="AE1336" s="1"/>
    </row>
    <row r="1337" spans="18:31" ht="75" customHeight="1">
      <c r="R1337" s="1"/>
      <c r="S1337" s="1"/>
      <c r="AD1337" s="1"/>
      <c r="AE1337" s="1"/>
    </row>
    <row r="1338" spans="18:31" ht="75" customHeight="1">
      <c r="R1338" s="1"/>
      <c r="S1338" s="1"/>
      <c r="AD1338" s="1"/>
      <c r="AE1338" s="1"/>
    </row>
    <row r="1339" spans="18:31" ht="75" customHeight="1">
      <c r="R1339" s="1"/>
      <c r="S1339" s="1"/>
      <c r="AD1339" s="1"/>
      <c r="AE1339" s="1"/>
    </row>
    <row r="1340" spans="18:31" ht="75" customHeight="1">
      <c r="R1340" s="1"/>
      <c r="S1340" s="1"/>
      <c r="AD1340" s="1"/>
      <c r="AE1340" s="1"/>
    </row>
    <row r="1341" spans="18:31" ht="75" customHeight="1">
      <c r="R1341" s="1"/>
      <c r="S1341" s="1"/>
      <c r="AD1341" s="1"/>
      <c r="AE1341" s="1"/>
    </row>
    <row r="1342" spans="18:31" ht="75" customHeight="1">
      <c r="R1342" s="1"/>
      <c r="S1342" s="1"/>
      <c r="AD1342" s="1"/>
      <c r="AE1342" s="1"/>
    </row>
    <row r="1343" spans="18:31" ht="75" customHeight="1">
      <c r="R1343" s="1"/>
      <c r="S1343" s="1"/>
      <c r="AD1343" s="1"/>
      <c r="AE1343" s="1"/>
    </row>
    <row r="1344" spans="18:31" ht="75" customHeight="1">
      <c r="R1344" s="1"/>
      <c r="S1344" s="1"/>
      <c r="AD1344" s="1"/>
      <c r="AE1344" s="1"/>
    </row>
    <row r="1345" spans="18:31" ht="75" customHeight="1">
      <c r="R1345" s="1"/>
      <c r="S1345" s="1"/>
      <c r="AD1345" s="1"/>
      <c r="AE1345" s="1"/>
    </row>
    <row r="1346" spans="18:31" ht="75" customHeight="1">
      <c r="R1346" s="1"/>
      <c r="S1346" s="1"/>
      <c r="AD1346" s="1"/>
      <c r="AE1346" s="1"/>
    </row>
    <row r="1347" spans="18:31" ht="75" customHeight="1">
      <c r="R1347" s="1"/>
      <c r="S1347" s="1"/>
      <c r="AD1347" s="1"/>
      <c r="AE1347" s="1"/>
    </row>
    <row r="1348" spans="18:31" ht="75" customHeight="1">
      <c r="R1348" s="1"/>
      <c r="S1348" s="1"/>
      <c r="AD1348" s="1"/>
      <c r="AE1348" s="1"/>
    </row>
    <row r="1349" spans="18:31" ht="75" customHeight="1">
      <c r="R1349" s="1"/>
      <c r="S1349" s="1"/>
      <c r="AD1349" s="1"/>
      <c r="AE1349" s="1"/>
    </row>
    <row r="1350" spans="18:31" ht="75" customHeight="1">
      <c r="R1350" s="1"/>
      <c r="S1350" s="1"/>
      <c r="AD1350" s="1"/>
      <c r="AE1350" s="1"/>
    </row>
    <row r="1351" spans="18:31" ht="75" customHeight="1">
      <c r="R1351" s="1"/>
      <c r="S1351" s="1"/>
      <c r="AD1351" s="1"/>
      <c r="AE1351" s="1"/>
    </row>
    <row r="1352" spans="18:31" ht="75" customHeight="1">
      <c r="R1352" s="1"/>
      <c r="S1352" s="1"/>
      <c r="AD1352" s="1"/>
      <c r="AE1352" s="1"/>
    </row>
    <row r="1353" spans="18:31" ht="75" customHeight="1">
      <c r="R1353" s="1"/>
      <c r="S1353" s="1"/>
      <c r="AD1353" s="1"/>
      <c r="AE1353" s="1"/>
    </row>
    <row r="1354" spans="18:31" ht="75" customHeight="1">
      <c r="R1354" s="1"/>
      <c r="S1354" s="1"/>
      <c r="AD1354" s="1"/>
      <c r="AE1354" s="1"/>
    </row>
    <row r="1355" spans="18:31" ht="75" customHeight="1">
      <c r="R1355" s="1"/>
      <c r="S1355" s="1"/>
      <c r="AD1355" s="1"/>
      <c r="AE1355" s="1"/>
    </row>
    <row r="1356" spans="18:31" ht="75" customHeight="1">
      <c r="R1356" s="1"/>
      <c r="S1356" s="1"/>
      <c r="AD1356" s="1"/>
      <c r="AE1356" s="1"/>
    </row>
    <row r="1357" spans="18:31" ht="75" customHeight="1">
      <c r="R1357" s="1"/>
      <c r="S1357" s="1"/>
      <c r="AD1357" s="1"/>
      <c r="AE1357" s="1"/>
    </row>
    <row r="1358" spans="18:31" ht="75" customHeight="1">
      <c r="R1358" s="1"/>
      <c r="S1358" s="1"/>
      <c r="AD1358" s="1"/>
      <c r="AE1358" s="1"/>
    </row>
    <row r="1359" spans="18:31" ht="75" customHeight="1">
      <c r="R1359" s="1"/>
      <c r="S1359" s="1"/>
      <c r="AD1359" s="1"/>
      <c r="AE1359" s="1"/>
    </row>
    <row r="1360" spans="18:31" ht="75" customHeight="1">
      <c r="R1360" s="1"/>
      <c r="S1360" s="1"/>
      <c r="AD1360" s="1"/>
      <c r="AE1360" s="1"/>
    </row>
    <row r="1361" spans="18:31" ht="75" customHeight="1">
      <c r="R1361" s="1"/>
      <c r="S1361" s="1"/>
      <c r="AD1361" s="1"/>
      <c r="AE1361" s="1"/>
    </row>
    <row r="1362" spans="18:31" ht="75" customHeight="1">
      <c r="R1362" s="1"/>
      <c r="S1362" s="1"/>
      <c r="AD1362" s="1"/>
      <c r="AE1362" s="1"/>
    </row>
    <row r="1363" spans="18:31" ht="75" customHeight="1">
      <c r="R1363" s="1"/>
      <c r="S1363" s="1"/>
      <c r="AD1363" s="1"/>
      <c r="AE1363" s="1"/>
    </row>
    <row r="1364" spans="18:31" ht="75" customHeight="1">
      <c r="R1364" s="1"/>
      <c r="S1364" s="1"/>
      <c r="AD1364" s="1"/>
      <c r="AE1364" s="1"/>
    </row>
    <row r="1365" spans="18:31" ht="75" customHeight="1">
      <c r="R1365" s="1"/>
      <c r="S1365" s="1"/>
      <c r="AD1365" s="1"/>
      <c r="AE1365" s="1"/>
    </row>
    <row r="1366" spans="18:31" ht="75" customHeight="1">
      <c r="R1366" s="1"/>
      <c r="S1366" s="1"/>
      <c r="AD1366" s="1"/>
      <c r="AE1366" s="1"/>
    </row>
    <row r="1367" spans="18:31" ht="75" customHeight="1">
      <c r="R1367" s="1"/>
      <c r="S1367" s="1"/>
      <c r="AD1367" s="1"/>
      <c r="AE1367" s="1"/>
    </row>
    <row r="1368" spans="18:31" ht="75" customHeight="1">
      <c r="R1368" s="1"/>
      <c r="S1368" s="1"/>
      <c r="AD1368" s="1"/>
      <c r="AE1368" s="1"/>
    </row>
    <row r="1369" spans="18:31" ht="75" customHeight="1">
      <c r="R1369" s="1"/>
      <c r="S1369" s="1"/>
      <c r="AD1369" s="1"/>
      <c r="AE1369" s="1"/>
    </row>
    <row r="1370" spans="18:31" ht="75" customHeight="1">
      <c r="R1370" s="1"/>
      <c r="S1370" s="1"/>
      <c r="AD1370" s="1"/>
      <c r="AE1370" s="1"/>
    </row>
    <row r="1371" spans="18:31" ht="75" customHeight="1">
      <c r="R1371" s="1"/>
      <c r="S1371" s="1"/>
      <c r="AD1371" s="1"/>
      <c r="AE1371" s="1"/>
    </row>
    <row r="1372" spans="18:31" ht="75" customHeight="1">
      <c r="R1372" s="1"/>
      <c r="S1372" s="1"/>
      <c r="AD1372" s="1"/>
      <c r="AE1372" s="1"/>
    </row>
    <row r="1373" spans="18:31" ht="75" customHeight="1">
      <c r="R1373" s="1"/>
      <c r="S1373" s="1"/>
      <c r="AD1373" s="1"/>
      <c r="AE1373" s="1"/>
    </row>
    <row r="1374" spans="18:31" ht="75" customHeight="1">
      <c r="R1374" s="1"/>
      <c r="S1374" s="1"/>
      <c r="AD1374" s="1"/>
      <c r="AE1374" s="1"/>
    </row>
    <row r="1375" spans="18:31" ht="75" customHeight="1">
      <c r="R1375" s="1"/>
      <c r="S1375" s="1"/>
      <c r="AD1375" s="1"/>
      <c r="AE1375" s="1"/>
    </row>
    <row r="1376" spans="18:31" ht="75" customHeight="1">
      <c r="R1376" s="1"/>
      <c r="S1376" s="1"/>
      <c r="AD1376" s="1"/>
      <c r="AE1376" s="1"/>
    </row>
    <row r="1377" spans="18:31" ht="75" customHeight="1">
      <c r="R1377" s="1"/>
      <c r="S1377" s="1"/>
      <c r="AD1377" s="1"/>
      <c r="AE1377" s="1"/>
    </row>
    <row r="1378" spans="18:31" ht="75" customHeight="1">
      <c r="R1378" s="1"/>
      <c r="S1378" s="1"/>
      <c r="AD1378" s="1"/>
      <c r="AE1378" s="1"/>
    </row>
    <row r="1379" spans="18:31" ht="75" customHeight="1">
      <c r="R1379" s="1"/>
      <c r="S1379" s="1"/>
      <c r="AD1379" s="1"/>
      <c r="AE1379" s="1"/>
    </row>
    <row r="1380" spans="18:31" ht="75" customHeight="1">
      <c r="R1380" s="1"/>
      <c r="S1380" s="1"/>
      <c r="AD1380" s="1"/>
      <c r="AE1380" s="1"/>
    </row>
    <row r="1381" spans="18:31" ht="75" customHeight="1">
      <c r="R1381" s="1"/>
      <c r="S1381" s="1"/>
      <c r="AD1381" s="1"/>
      <c r="AE1381" s="1"/>
    </row>
    <row r="1382" spans="18:31" ht="75" customHeight="1">
      <c r="R1382" s="1"/>
      <c r="S1382" s="1"/>
      <c r="AD1382" s="1"/>
      <c r="AE1382" s="1"/>
    </row>
    <row r="1383" spans="18:31" ht="75" customHeight="1">
      <c r="R1383" s="1"/>
      <c r="S1383" s="1"/>
      <c r="AD1383" s="1"/>
      <c r="AE1383" s="1"/>
    </row>
    <row r="1384" spans="18:31" ht="75" customHeight="1">
      <c r="R1384" s="1"/>
      <c r="S1384" s="1"/>
      <c r="AD1384" s="1"/>
      <c r="AE1384" s="1"/>
    </row>
    <row r="1385" spans="18:31" ht="75" customHeight="1">
      <c r="R1385" s="1"/>
      <c r="S1385" s="1"/>
      <c r="AD1385" s="1"/>
      <c r="AE1385" s="1"/>
    </row>
    <row r="1386" spans="18:31" ht="75" customHeight="1">
      <c r="R1386" s="1"/>
      <c r="S1386" s="1"/>
      <c r="AD1386" s="1"/>
      <c r="AE1386" s="1"/>
    </row>
    <row r="1387" spans="18:31" ht="75" customHeight="1">
      <c r="R1387" s="1"/>
      <c r="S1387" s="1"/>
      <c r="AD1387" s="1"/>
      <c r="AE1387" s="1"/>
    </row>
    <row r="1388" spans="18:31" ht="75" customHeight="1">
      <c r="R1388" s="1"/>
      <c r="S1388" s="1"/>
      <c r="AD1388" s="1"/>
      <c r="AE1388" s="1"/>
    </row>
    <row r="1389" spans="18:31" ht="75" customHeight="1">
      <c r="R1389" s="1"/>
      <c r="S1389" s="1"/>
      <c r="AD1389" s="1"/>
      <c r="AE1389" s="1"/>
    </row>
    <row r="1390" spans="18:31" ht="75" customHeight="1">
      <c r="R1390" s="1"/>
      <c r="S1390" s="1"/>
      <c r="AD1390" s="1"/>
      <c r="AE1390" s="1"/>
    </row>
    <row r="1391" spans="18:31" ht="75" customHeight="1">
      <c r="R1391" s="1"/>
      <c r="S1391" s="1"/>
      <c r="AD1391" s="1"/>
      <c r="AE1391" s="1"/>
    </row>
    <row r="1392" spans="18:31" ht="75" customHeight="1">
      <c r="R1392" s="1"/>
      <c r="S1392" s="1"/>
      <c r="AD1392" s="1"/>
      <c r="AE1392" s="1"/>
    </row>
    <row r="1393" spans="18:31" ht="75" customHeight="1">
      <c r="R1393" s="1"/>
      <c r="S1393" s="1"/>
      <c r="AD1393" s="1"/>
      <c r="AE1393" s="1"/>
    </row>
    <row r="1394" spans="18:31" ht="75" customHeight="1">
      <c r="R1394" s="1"/>
      <c r="S1394" s="1"/>
      <c r="AD1394" s="1"/>
      <c r="AE1394" s="1"/>
    </row>
    <row r="1395" spans="18:31" ht="75" customHeight="1">
      <c r="R1395" s="1"/>
      <c r="S1395" s="1"/>
      <c r="AD1395" s="1"/>
      <c r="AE1395" s="1"/>
    </row>
    <row r="1396" spans="18:31" ht="75" customHeight="1">
      <c r="R1396" s="1"/>
      <c r="S1396" s="1"/>
      <c r="AD1396" s="1"/>
      <c r="AE1396" s="1"/>
    </row>
    <row r="1397" spans="18:31" ht="75" customHeight="1">
      <c r="R1397" s="1"/>
      <c r="S1397" s="1"/>
      <c r="AD1397" s="1"/>
      <c r="AE1397" s="1"/>
    </row>
    <row r="1398" spans="18:31" ht="75" customHeight="1">
      <c r="R1398" s="1"/>
      <c r="S1398" s="1"/>
      <c r="AD1398" s="1"/>
      <c r="AE1398" s="1"/>
    </row>
    <row r="1399" spans="18:31" ht="75" customHeight="1">
      <c r="R1399" s="1"/>
      <c r="S1399" s="1"/>
      <c r="AD1399" s="1"/>
      <c r="AE1399" s="1"/>
    </row>
    <row r="1400" spans="18:31" ht="75" customHeight="1">
      <c r="R1400" s="1"/>
      <c r="S1400" s="1"/>
      <c r="AD1400" s="1"/>
      <c r="AE1400" s="1"/>
    </row>
    <row r="1401" spans="18:31" ht="75" customHeight="1">
      <c r="R1401" s="1"/>
      <c r="S1401" s="1"/>
      <c r="AD1401" s="1"/>
      <c r="AE1401" s="1"/>
    </row>
    <row r="1402" spans="18:31" ht="75" customHeight="1">
      <c r="R1402" s="1"/>
      <c r="S1402" s="1"/>
      <c r="AD1402" s="1"/>
      <c r="AE1402" s="1"/>
    </row>
    <row r="1403" spans="18:31" ht="75" customHeight="1">
      <c r="R1403" s="1"/>
      <c r="S1403" s="1"/>
      <c r="AD1403" s="1"/>
      <c r="AE1403" s="1"/>
    </row>
    <row r="1404" spans="18:31" ht="75" customHeight="1">
      <c r="R1404" s="1"/>
      <c r="S1404" s="1"/>
      <c r="AD1404" s="1"/>
      <c r="AE1404" s="1"/>
    </row>
    <row r="1405" spans="18:31" ht="75" customHeight="1">
      <c r="R1405" s="1"/>
      <c r="S1405" s="1"/>
      <c r="AD1405" s="1"/>
      <c r="AE1405" s="1"/>
    </row>
    <row r="1406" spans="18:31" ht="75" customHeight="1">
      <c r="R1406" s="1"/>
      <c r="S1406" s="1"/>
      <c r="AD1406" s="1"/>
      <c r="AE1406" s="1"/>
    </row>
    <row r="1407" spans="18:31" ht="75" customHeight="1">
      <c r="R1407" s="1"/>
      <c r="S1407" s="1"/>
      <c r="AD1407" s="1"/>
      <c r="AE1407" s="1"/>
    </row>
    <row r="1408" spans="18:31" ht="75" customHeight="1">
      <c r="R1408" s="1"/>
      <c r="S1408" s="1"/>
      <c r="AD1408" s="1"/>
      <c r="AE1408" s="1"/>
    </row>
    <row r="1409" spans="18:31" ht="75" customHeight="1">
      <c r="R1409" s="1"/>
      <c r="S1409" s="1"/>
      <c r="AD1409" s="1"/>
      <c r="AE1409" s="1"/>
    </row>
    <row r="1410" spans="18:31" ht="75" customHeight="1">
      <c r="R1410" s="1"/>
      <c r="S1410" s="1"/>
      <c r="AD1410" s="1"/>
      <c r="AE1410" s="1"/>
    </row>
    <row r="1411" spans="18:31" ht="75" customHeight="1">
      <c r="R1411" s="1"/>
      <c r="S1411" s="1"/>
      <c r="AD1411" s="1"/>
      <c r="AE1411" s="1"/>
    </row>
    <row r="1412" spans="18:31" ht="75" customHeight="1">
      <c r="R1412" s="1"/>
      <c r="S1412" s="1"/>
      <c r="AD1412" s="1"/>
      <c r="AE1412" s="1"/>
    </row>
    <row r="1413" spans="18:31" ht="75" customHeight="1">
      <c r="R1413" s="1"/>
      <c r="S1413" s="1"/>
      <c r="AD1413" s="1"/>
      <c r="AE1413" s="1"/>
    </row>
    <row r="1414" spans="18:31" ht="75" customHeight="1">
      <c r="R1414" s="1"/>
      <c r="S1414" s="1"/>
      <c r="AD1414" s="1"/>
      <c r="AE1414" s="1"/>
    </row>
    <row r="1415" spans="18:31" ht="75" customHeight="1">
      <c r="R1415" s="1"/>
      <c r="S1415" s="1"/>
      <c r="AD1415" s="1"/>
      <c r="AE1415" s="1"/>
    </row>
    <row r="1416" spans="18:31" ht="75" customHeight="1">
      <c r="R1416" s="1"/>
      <c r="S1416" s="1"/>
      <c r="AD1416" s="1"/>
      <c r="AE1416" s="1"/>
    </row>
    <row r="1417" spans="18:31" ht="75" customHeight="1">
      <c r="R1417" s="1"/>
      <c r="S1417" s="1"/>
      <c r="AD1417" s="1"/>
      <c r="AE1417" s="1"/>
    </row>
    <row r="1418" spans="18:31" ht="75" customHeight="1">
      <c r="R1418" s="1"/>
      <c r="S1418" s="1"/>
      <c r="AD1418" s="1"/>
      <c r="AE1418" s="1"/>
    </row>
    <row r="1419" spans="18:31" ht="75" customHeight="1">
      <c r="R1419" s="1"/>
      <c r="S1419" s="1"/>
      <c r="AD1419" s="1"/>
      <c r="AE1419" s="1"/>
    </row>
    <row r="1420" spans="18:31" ht="75" customHeight="1">
      <c r="R1420" s="1"/>
      <c r="S1420" s="1"/>
      <c r="AD1420" s="1"/>
      <c r="AE1420" s="1"/>
    </row>
    <row r="1421" spans="18:31" ht="75" customHeight="1">
      <c r="R1421" s="1"/>
      <c r="S1421" s="1"/>
      <c r="AD1421" s="1"/>
      <c r="AE1421" s="1"/>
    </row>
    <row r="1422" spans="18:31" ht="75" customHeight="1">
      <c r="R1422" s="1"/>
      <c r="S1422" s="1"/>
      <c r="AD1422" s="1"/>
      <c r="AE1422" s="1"/>
    </row>
    <row r="1423" spans="18:31" ht="75" customHeight="1">
      <c r="R1423" s="1"/>
      <c r="S1423" s="1"/>
      <c r="AD1423" s="1"/>
      <c r="AE1423" s="1"/>
    </row>
    <row r="1424" spans="18:31" ht="75" customHeight="1">
      <c r="R1424" s="1"/>
      <c r="S1424" s="1"/>
      <c r="AD1424" s="1"/>
      <c r="AE1424" s="1"/>
    </row>
    <row r="1425" spans="18:31" ht="75" customHeight="1">
      <c r="R1425" s="1"/>
      <c r="S1425" s="1"/>
      <c r="AD1425" s="1"/>
      <c r="AE1425" s="1"/>
    </row>
    <row r="1426" spans="18:31" ht="75" customHeight="1">
      <c r="R1426" s="1"/>
      <c r="S1426" s="1"/>
      <c r="AD1426" s="1"/>
      <c r="AE1426" s="1"/>
    </row>
    <row r="1427" spans="18:31" ht="75" customHeight="1">
      <c r="R1427" s="1"/>
      <c r="S1427" s="1"/>
      <c r="AD1427" s="1"/>
      <c r="AE1427" s="1"/>
    </row>
    <row r="1428" spans="18:31" ht="75" customHeight="1">
      <c r="R1428" s="1"/>
      <c r="S1428" s="1"/>
      <c r="AD1428" s="1"/>
      <c r="AE1428" s="1"/>
    </row>
    <row r="1429" spans="18:31" ht="75" customHeight="1">
      <c r="R1429" s="1"/>
      <c r="S1429" s="1"/>
      <c r="AD1429" s="1"/>
      <c r="AE1429" s="1"/>
    </row>
    <row r="1430" spans="18:31" ht="75" customHeight="1">
      <c r="R1430" s="1"/>
      <c r="S1430" s="1"/>
      <c r="AD1430" s="1"/>
      <c r="AE1430" s="1"/>
    </row>
    <row r="1431" spans="18:31" ht="75" customHeight="1">
      <c r="R1431" s="1"/>
      <c r="S1431" s="1"/>
      <c r="AD1431" s="1"/>
      <c r="AE1431" s="1"/>
    </row>
    <row r="1432" spans="18:31" ht="75" customHeight="1">
      <c r="R1432" s="1"/>
      <c r="S1432" s="1"/>
      <c r="AD1432" s="1"/>
      <c r="AE1432" s="1"/>
    </row>
    <row r="1433" spans="18:31" ht="75" customHeight="1">
      <c r="R1433" s="1"/>
      <c r="S1433" s="1"/>
      <c r="AD1433" s="1"/>
      <c r="AE1433" s="1"/>
    </row>
    <row r="1434" spans="18:31" ht="75" customHeight="1">
      <c r="R1434" s="1"/>
      <c r="S1434" s="1"/>
      <c r="AD1434" s="1"/>
      <c r="AE1434" s="1"/>
    </row>
    <row r="1435" spans="18:31" ht="75" customHeight="1">
      <c r="R1435" s="1"/>
      <c r="S1435" s="1"/>
      <c r="AD1435" s="1"/>
      <c r="AE1435" s="1"/>
    </row>
    <row r="1436" spans="18:31" ht="75" customHeight="1">
      <c r="R1436" s="1"/>
      <c r="S1436" s="1"/>
      <c r="AD1436" s="1"/>
      <c r="AE1436" s="1"/>
    </row>
    <row r="1437" spans="18:31" ht="75" customHeight="1">
      <c r="R1437" s="1"/>
      <c r="S1437" s="1"/>
      <c r="AD1437" s="1"/>
      <c r="AE1437" s="1"/>
    </row>
    <row r="1438" spans="18:31" ht="75" customHeight="1">
      <c r="R1438" s="1"/>
      <c r="S1438" s="1"/>
      <c r="AD1438" s="1"/>
      <c r="AE1438" s="1"/>
    </row>
    <row r="1439" spans="18:31" ht="75" customHeight="1">
      <c r="R1439" s="1"/>
      <c r="S1439" s="1"/>
      <c r="AD1439" s="1"/>
      <c r="AE1439" s="1"/>
    </row>
    <row r="1440" spans="18:31" ht="75" customHeight="1">
      <c r="R1440" s="1"/>
      <c r="S1440" s="1"/>
      <c r="AD1440" s="1"/>
      <c r="AE1440" s="1"/>
    </row>
    <row r="1441" spans="18:31" ht="75" customHeight="1">
      <c r="R1441" s="1"/>
      <c r="S1441" s="1"/>
      <c r="AD1441" s="1"/>
      <c r="AE1441" s="1"/>
    </row>
    <row r="1442" spans="18:31" ht="75" customHeight="1">
      <c r="R1442" s="1"/>
      <c r="S1442" s="1"/>
      <c r="AD1442" s="1"/>
      <c r="AE1442" s="1"/>
    </row>
    <row r="1443" spans="18:31" ht="75" customHeight="1">
      <c r="R1443" s="1"/>
      <c r="S1443" s="1"/>
      <c r="AD1443" s="1"/>
      <c r="AE1443" s="1"/>
    </row>
    <row r="1444" spans="18:31" ht="75" customHeight="1">
      <c r="R1444" s="1"/>
      <c r="S1444" s="1"/>
      <c r="AD1444" s="1"/>
      <c r="AE1444" s="1"/>
    </row>
    <row r="1445" spans="18:31" ht="75" customHeight="1">
      <c r="R1445" s="1"/>
      <c r="S1445" s="1"/>
      <c r="AD1445" s="1"/>
      <c r="AE1445" s="1"/>
    </row>
    <row r="1446" spans="18:31" ht="75" customHeight="1">
      <c r="R1446" s="1"/>
      <c r="S1446" s="1"/>
      <c r="AD1446" s="1"/>
      <c r="AE1446" s="1"/>
    </row>
    <row r="1447" spans="18:31" ht="75" customHeight="1">
      <c r="R1447" s="1"/>
      <c r="S1447" s="1"/>
      <c r="AD1447" s="1"/>
      <c r="AE1447" s="1"/>
    </row>
    <row r="1448" spans="18:31" ht="75" customHeight="1">
      <c r="R1448" s="1"/>
      <c r="S1448" s="1"/>
      <c r="AD1448" s="1"/>
      <c r="AE1448" s="1"/>
    </row>
    <row r="1449" spans="18:31" ht="75" customHeight="1">
      <c r="R1449" s="1"/>
      <c r="S1449" s="1"/>
      <c r="AD1449" s="1"/>
      <c r="AE1449" s="1"/>
    </row>
    <row r="1450" spans="18:31" ht="75" customHeight="1">
      <c r="R1450" s="1"/>
      <c r="S1450" s="1"/>
      <c r="AD1450" s="1"/>
      <c r="AE1450" s="1"/>
    </row>
    <row r="1451" spans="18:31" ht="75" customHeight="1">
      <c r="R1451" s="1"/>
      <c r="S1451" s="1"/>
      <c r="AD1451" s="1"/>
      <c r="AE1451" s="1"/>
    </row>
    <row r="1452" spans="18:31" ht="75" customHeight="1">
      <c r="R1452" s="1"/>
      <c r="S1452" s="1"/>
      <c r="AD1452" s="1"/>
      <c r="AE1452" s="1"/>
    </row>
    <row r="1453" spans="18:31" ht="75" customHeight="1">
      <c r="R1453" s="1"/>
      <c r="S1453" s="1"/>
      <c r="AD1453" s="1"/>
      <c r="AE1453" s="1"/>
    </row>
    <row r="1454" spans="18:31" ht="75" customHeight="1">
      <c r="R1454" s="1"/>
      <c r="S1454" s="1"/>
      <c r="AD1454" s="1"/>
      <c r="AE1454" s="1"/>
    </row>
    <row r="1455" spans="18:31" ht="75" customHeight="1">
      <c r="R1455" s="1"/>
      <c r="S1455" s="1"/>
      <c r="AD1455" s="1"/>
      <c r="AE1455" s="1"/>
    </row>
    <row r="1456" spans="18:31" ht="75" customHeight="1">
      <c r="R1456" s="1"/>
      <c r="S1456" s="1"/>
      <c r="AD1456" s="1"/>
      <c r="AE1456" s="1"/>
    </row>
    <row r="1457" spans="18:31" ht="75" customHeight="1">
      <c r="R1457" s="1"/>
      <c r="S1457" s="1"/>
      <c r="AD1457" s="1"/>
      <c r="AE1457" s="1"/>
    </row>
    <row r="1458" spans="18:31" ht="75" customHeight="1">
      <c r="R1458" s="1"/>
      <c r="S1458" s="1"/>
      <c r="AD1458" s="1"/>
      <c r="AE1458" s="1"/>
    </row>
    <row r="1459" spans="18:31" ht="75" customHeight="1">
      <c r="R1459" s="1"/>
      <c r="S1459" s="1"/>
      <c r="AD1459" s="1"/>
      <c r="AE1459" s="1"/>
    </row>
    <row r="1460" spans="18:31" ht="75" customHeight="1">
      <c r="R1460" s="1"/>
      <c r="S1460" s="1"/>
      <c r="AD1460" s="1"/>
      <c r="AE1460" s="1"/>
    </row>
    <row r="1461" spans="18:31" ht="75" customHeight="1">
      <c r="R1461" s="1"/>
      <c r="S1461" s="1"/>
      <c r="AD1461" s="1"/>
      <c r="AE1461" s="1"/>
    </row>
    <row r="1462" spans="18:31" ht="75" customHeight="1">
      <c r="R1462" s="1"/>
      <c r="S1462" s="1"/>
      <c r="AD1462" s="1"/>
      <c r="AE1462" s="1"/>
    </row>
    <row r="1463" spans="18:31" ht="75" customHeight="1">
      <c r="R1463" s="1"/>
      <c r="S1463" s="1"/>
      <c r="AD1463" s="1"/>
      <c r="AE1463" s="1"/>
    </row>
    <row r="1464" spans="18:31" ht="75" customHeight="1">
      <c r="R1464" s="1"/>
      <c r="S1464" s="1"/>
      <c r="AD1464" s="1"/>
      <c r="AE1464" s="1"/>
    </row>
    <row r="1465" spans="18:31" ht="75" customHeight="1">
      <c r="R1465" s="1"/>
      <c r="S1465" s="1"/>
      <c r="AD1465" s="1"/>
      <c r="AE1465" s="1"/>
    </row>
    <row r="1466" spans="18:31" ht="75" customHeight="1">
      <c r="R1466" s="1"/>
      <c r="S1466" s="1"/>
      <c r="AD1466" s="1"/>
      <c r="AE1466" s="1"/>
    </row>
    <row r="1467" spans="18:31" ht="75" customHeight="1">
      <c r="R1467" s="1"/>
      <c r="S1467" s="1"/>
      <c r="AD1467" s="1"/>
      <c r="AE1467" s="1"/>
    </row>
    <row r="1468" spans="18:31" ht="75" customHeight="1">
      <c r="R1468" s="1"/>
      <c r="S1468" s="1"/>
      <c r="AD1468" s="1"/>
      <c r="AE1468" s="1"/>
    </row>
    <row r="1469" spans="18:31" ht="75" customHeight="1">
      <c r="R1469" s="1"/>
      <c r="S1469" s="1"/>
      <c r="AD1469" s="1"/>
      <c r="AE1469" s="1"/>
    </row>
    <row r="1470" spans="18:31" ht="75" customHeight="1">
      <c r="R1470" s="1"/>
      <c r="S1470" s="1"/>
      <c r="AD1470" s="1"/>
      <c r="AE1470" s="1"/>
    </row>
    <row r="1471" spans="18:31" ht="75" customHeight="1">
      <c r="R1471" s="1"/>
      <c r="S1471" s="1"/>
      <c r="AD1471" s="1"/>
      <c r="AE1471" s="1"/>
    </row>
    <row r="1472" spans="18:31" ht="75" customHeight="1">
      <c r="R1472" s="1"/>
      <c r="S1472" s="1"/>
      <c r="AD1472" s="1"/>
      <c r="AE1472" s="1"/>
    </row>
    <row r="1473" spans="18:31" ht="75" customHeight="1">
      <c r="R1473" s="1"/>
      <c r="S1473" s="1"/>
      <c r="AD1473" s="1"/>
      <c r="AE1473" s="1"/>
    </row>
    <row r="1474" spans="18:31" ht="75" customHeight="1">
      <c r="R1474" s="1"/>
      <c r="S1474" s="1"/>
      <c r="AD1474" s="1"/>
      <c r="AE1474" s="1"/>
    </row>
    <row r="1475" spans="18:31" ht="75" customHeight="1">
      <c r="R1475" s="1"/>
      <c r="S1475" s="1"/>
      <c r="AD1475" s="1"/>
      <c r="AE1475" s="1"/>
    </row>
    <row r="1476" spans="18:31" ht="75" customHeight="1">
      <c r="R1476" s="1"/>
      <c r="S1476" s="1"/>
      <c r="AD1476" s="1"/>
      <c r="AE1476" s="1"/>
    </row>
    <row r="1477" spans="18:31" ht="75" customHeight="1">
      <c r="R1477" s="1"/>
      <c r="S1477" s="1"/>
      <c r="AD1477" s="1"/>
      <c r="AE1477" s="1"/>
    </row>
    <row r="1478" spans="18:31" ht="75" customHeight="1">
      <c r="R1478" s="1"/>
      <c r="S1478" s="1"/>
      <c r="AD1478" s="1"/>
      <c r="AE1478" s="1"/>
    </row>
    <row r="1479" spans="18:31" ht="75" customHeight="1">
      <c r="R1479" s="1"/>
      <c r="S1479" s="1"/>
      <c r="AD1479" s="1"/>
      <c r="AE1479" s="1"/>
    </row>
    <row r="1480" spans="18:31" ht="75" customHeight="1">
      <c r="R1480" s="1"/>
      <c r="S1480" s="1"/>
      <c r="AD1480" s="1"/>
      <c r="AE1480" s="1"/>
    </row>
    <row r="1481" spans="18:31" ht="75" customHeight="1">
      <c r="R1481" s="1"/>
      <c r="S1481" s="1"/>
      <c r="AD1481" s="1"/>
      <c r="AE1481" s="1"/>
    </row>
    <row r="1482" spans="18:31" ht="75" customHeight="1">
      <c r="R1482" s="1"/>
      <c r="S1482" s="1"/>
      <c r="AD1482" s="1"/>
      <c r="AE1482" s="1"/>
    </row>
    <row r="1483" spans="18:31" ht="75" customHeight="1">
      <c r="R1483" s="1"/>
      <c r="S1483" s="1"/>
      <c r="AD1483" s="1"/>
      <c r="AE1483" s="1"/>
    </row>
    <row r="1484" spans="18:31" ht="75" customHeight="1">
      <c r="R1484" s="1"/>
      <c r="S1484" s="1"/>
      <c r="AD1484" s="1"/>
      <c r="AE1484" s="1"/>
    </row>
    <row r="1485" spans="18:31" ht="75" customHeight="1">
      <c r="R1485" s="1"/>
      <c r="S1485" s="1"/>
      <c r="AD1485" s="1"/>
      <c r="AE1485" s="1"/>
    </row>
    <row r="1486" spans="18:31" ht="75" customHeight="1">
      <c r="R1486" s="1"/>
      <c r="S1486" s="1"/>
      <c r="AD1486" s="1"/>
      <c r="AE1486" s="1"/>
    </row>
    <row r="1487" spans="18:31" ht="75" customHeight="1">
      <c r="R1487" s="1"/>
      <c r="S1487" s="1"/>
      <c r="AD1487" s="1"/>
      <c r="AE1487" s="1"/>
    </row>
    <row r="1488" spans="18:31" ht="75" customHeight="1">
      <c r="R1488" s="1"/>
      <c r="S1488" s="1"/>
      <c r="AD1488" s="1"/>
      <c r="AE1488" s="1"/>
    </row>
    <row r="1489" spans="18:31" ht="75" customHeight="1">
      <c r="R1489" s="1"/>
      <c r="S1489" s="1"/>
      <c r="AD1489" s="1"/>
      <c r="AE1489" s="1"/>
    </row>
    <row r="1490" spans="18:31" ht="75" customHeight="1">
      <c r="R1490" s="1"/>
      <c r="S1490" s="1"/>
      <c r="AD1490" s="1"/>
      <c r="AE1490" s="1"/>
    </row>
    <row r="1491" spans="18:31" ht="75" customHeight="1">
      <c r="R1491" s="1"/>
      <c r="S1491" s="1"/>
      <c r="AD1491" s="1"/>
      <c r="AE1491" s="1"/>
    </row>
    <row r="1492" spans="18:31" ht="75" customHeight="1">
      <c r="R1492" s="1"/>
      <c r="S1492" s="1"/>
      <c r="AD1492" s="1"/>
      <c r="AE1492" s="1"/>
    </row>
    <row r="1493" spans="18:31" ht="75" customHeight="1">
      <c r="R1493" s="1"/>
      <c r="S1493" s="1"/>
      <c r="AD1493" s="1"/>
      <c r="AE1493" s="1"/>
    </row>
    <row r="1494" spans="18:31" ht="75" customHeight="1">
      <c r="R1494" s="1"/>
      <c r="S1494" s="1"/>
      <c r="AD1494" s="1"/>
      <c r="AE1494" s="1"/>
    </row>
    <row r="1495" spans="18:31" ht="75" customHeight="1">
      <c r="R1495" s="1"/>
      <c r="S1495" s="1"/>
      <c r="AD1495" s="1"/>
      <c r="AE1495" s="1"/>
    </row>
    <row r="1496" spans="18:31" ht="75" customHeight="1">
      <c r="R1496" s="1"/>
      <c r="S1496" s="1"/>
      <c r="AD1496" s="1"/>
      <c r="AE1496" s="1"/>
    </row>
    <row r="1497" spans="18:31" ht="75" customHeight="1">
      <c r="R1497" s="1"/>
      <c r="S1497" s="1"/>
      <c r="AD1497" s="1"/>
      <c r="AE1497" s="1"/>
    </row>
    <row r="1498" spans="18:31" ht="75" customHeight="1">
      <c r="R1498" s="1"/>
      <c r="S1498" s="1"/>
      <c r="AD1498" s="1"/>
      <c r="AE1498" s="1"/>
    </row>
    <row r="1499" spans="18:31" ht="75" customHeight="1">
      <c r="R1499" s="1"/>
      <c r="S1499" s="1"/>
      <c r="AD1499" s="1"/>
      <c r="AE1499" s="1"/>
    </row>
    <row r="1500" spans="18:31" ht="75" customHeight="1">
      <c r="R1500" s="1"/>
      <c r="S1500" s="1"/>
      <c r="AD1500" s="1"/>
      <c r="AE1500" s="1"/>
    </row>
    <row r="1501" spans="18:31" ht="75" customHeight="1">
      <c r="R1501" s="1"/>
      <c r="S1501" s="1"/>
      <c r="AD1501" s="1"/>
      <c r="AE1501" s="1"/>
    </row>
    <row r="1502" spans="18:31" ht="75" customHeight="1">
      <c r="R1502" s="1"/>
      <c r="S1502" s="1"/>
      <c r="AD1502" s="1"/>
      <c r="AE1502" s="1"/>
    </row>
    <row r="1503" spans="18:31" ht="75" customHeight="1">
      <c r="R1503" s="1"/>
      <c r="S1503" s="1"/>
      <c r="AD1503" s="1"/>
      <c r="AE1503" s="1"/>
    </row>
    <row r="1504" spans="18:31" ht="75" customHeight="1">
      <c r="R1504" s="1"/>
      <c r="S1504" s="1"/>
      <c r="AD1504" s="1"/>
      <c r="AE1504" s="1"/>
    </row>
    <row r="1505" spans="18:31" ht="75" customHeight="1">
      <c r="R1505" s="1"/>
      <c r="S1505" s="1"/>
      <c r="AD1505" s="1"/>
      <c r="AE1505" s="1"/>
    </row>
    <row r="1506" spans="18:31" ht="75" customHeight="1">
      <c r="R1506" s="1"/>
      <c r="S1506" s="1"/>
      <c r="AD1506" s="1"/>
      <c r="AE1506" s="1"/>
    </row>
    <row r="1507" spans="18:31" ht="75" customHeight="1">
      <c r="R1507" s="1"/>
      <c r="S1507" s="1"/>
      <c r="AD1507" s="1"/>
      <c r="AE1507" s="1"/>
    </row>
    <row r="1508" spans="18:31" ht="75" customHeight="1">
      <c r="R1508" s="1"/>
      <c r="S1508" s="1"/>
      <c r="AD1508" s="1"/>
      <c r="AE1508" s="1"/>
    </row>
    <row r="1509" spans="18:31" ht="75" customHeight="1">
      <c r="R1509" s="1"/>
      <c r="S1509" s="1"/>
      <c r="AD1509" s="1"/>
      <c r="AE1509" s="1"/>
    </row>
    <row r="1510" spans="18:31" ht="75" customHeight="1">
      <c r="R1510" s="1"/>
      <c r="S1510" s="1"/>
      <c r="AD1510" s="1"/>
      <c r="AE1510" s="1"/>
    </row>
    <row r="1511" spans="18:31" ht="75" customHeight="1">
      <c r="R1511" s="1"/>
      <c r="S1511" s="1"/>
      <c r="AD1511" s="1"/>
      <c r="AE1511" s="1"/>
    </row>
    <row r="1512" spans="18:31" ht="75" customHeight="1">
      <c r="R1512" s="1"/>
      <c r="S1512" s="1"/>
      <c r="AD1512" s="1"/>
      <c r="AE1512" s="1"/>
    </row>
    <row r="1513" spans="18:31" ht="75" customHeight="1">
      <c r="R1513" s="1"/>
      <c r="S1513" s="1"/>
      <c r="AD1513" s="1"/>
      <c r="AE1513" s="1"/>
    </row>
    <row r="1514" spans="18:31" ht="75" customHeight="1">
      <c r="R1514" s="1"/>
      <c r="S1514" s="1"/>
      <c r="AD1514" s="1"/>
      <c r="AE1514" s="1"/>
    </row>
    <row r="1515" spans="18:31" ht="75" customHeight="1">
      <c r="R1515" s="1"/>
      <c r="S1515" s="1"/>
      <c r="AD1515" s="1"/>
      <c r="AE1515" s="1"/>
    </row>
    <row r="1516" spans="18:31" ht="75" customHeight="1">
      <c r="R1516" s="1"/>
      <c r="S1516" s="1"/>
      <c r="AD1516" s="1"/>
      <c r="AE1516" s="1"/>
    </row>
    <row r="1517" spans="18:31" ht="75" customHeight="1">
      <c r="R1517" s="1"/>
      <c r="S1517" s="1"/>
      <c r="AD1517" s="1"/>
      <c r="AE1517" s="1"/>
    </row>
    <row r="1518" spans="18:31" ht="75" customHeight="1">
      <c r="R1518" s="1"/>
      <c r="S1518" s="1"/>
      <c r="AD1518" s="1"/>
      <c r="AE1518" s="1"/>
    </row>
    <row r="1519" spans="18:31" ht="75" customHeight="1">
      <c r="R1519" s="1"/>
      <c r="S1519" s="1"/>
      <c r="AD1519" s="1"/>
      <c r="AE1519" s="1"/>
    </row>
    <row r="1520" spans="18:31" ht="75" customHeight="1">
      <c r="R1520" s="1"/>
      <c r="S1520" s="1"/>
      <c r="AD1520" s="1"/>
      <c r="AE1520" s="1"/>
    </row>
    <row r="1521" spans="18:31" ht="75" customHeight="1">
      <c r="R1521" s="1"/>
      <c r="S1521" s="1"/>
      <c r="AD1521" s="1"/>
      <c r="AE1521" s="1"/>
    </row>
    <row r="1522" spans="18:31" ht="75" customHeight="1">
      <c r="R1522" s="1"/>
      <c r="S1522" s="1"/>
      <c r="AD1522" s="1"/>
      <c r="AE1522" s="1"/>
    </row>
    <row r="1523" spans="18:31" ht="75" customHeight="1">
      <c r="R1523" s="1"/>
      <c r="S1523" s="1"/>
      <c r="AD1523" s="1"/>
      <c r="AE1523" s="1"/>
    </row>
    <row r="1524" spans="18:31" ht="75" customHeight="1">
      <c r="R1524" s="1"/>
      <c r="S1524" s="1"/>
      <c r="AD1524" s="1"/>
      <c r="AE1524" s="1"/>
    </row>
    <row r="1525" spans="18:31" ht="75" customHeight="1">
      <c r="R1525" s="1"/>
      <c r="S1525" s="1"/>
      <c r="AD1525" s="1"/>
      <c r="AE1525" s="1"/>
    </row>
    <row r="1526" spans="18:31" ht="75" customHeight="1">
      <c r="R1526" s="1"/>
      <c r="S1526" s="1"/>
      <c r="AD1526" s="1"/>
      <c r="AE1526" s="1"/>
    </row>
    <row r="1527" spans="18:31" ht="75" customHeight="1">
      <c r="R1527" s="1"/>
      <c r="S1527" s="1"/>
      <c r="AD1527" s="1"/>
      <c r="AE1527" s="1"/>
    </row>
    <row r="1528" spans="18:31" ht="75" customHeight="1">
      <c r="R1528" s="1"/>
      <c r="S1528" s="1"/>
      <c r="AD1528" s="1"/>
      <c r="AE1528" s="1"/>
    </row>
    <row r="1529" spans="18:31" ht="75" customHeight="1">
      <c r="R1529" s="1"/>
      <c r="S1529" s="1"/>
      <c r="AD1529" s="1"/>
      <c r="AE1529" s="1"/>
    </row>
    <row r="1530" spans="18:31" ht="75" customHeight="1">
      <c r="R1530" s="1"/>
      <c r="S1530" s="1"/>
      <c r="AD1530" s="1"/>
      <c r="AE1530" s="1"/>
    </row>
    <row r="1531" spans="18:31" ht="75" customHeight="1">
      <c r="R1531" s="1"/>
      <c r="S1531" s="1"/>
      <c r="AD1531" s="1"/>
      <c r="AE1531" s="1"/>
    </row>
    <row r="1532" spans="18:31" ht="75" customHeight="1">
      <c r="R1532" s="1"/>
      <c r="S1532" s="1"/>
      <c r="AD1532" s="1"/>
      <c r="AE1532" s="1"/>
    </row>
    <row r="1533" spans="18:31" ht="75" customHeight="1">
      <c r="R1533" s="1"/>
      <c r="S1533" s="1"/>
      <c r="AD1533" s="1"/>
      <c r="AE1533" s="1"/>
    </row>
    <row r="1534" spans="18:31" ht="75" customHeight="1">
      <c r="R1534" s="1"/>
      <c r="S1534" s="1"/>
      <c r="AD1534" s="1"/>
      <c r="AE1534" s="1"/>
    </row>
    <row r="1535" spans="18:31" ht="75" customHeight="1">
      <c r="R1535" s="1"/>
      <c r="S1535" s="1"/>
      <c r="AD1535" s="1"/>
      <c r="AE1535" s="1"/>
    </row>
    <row r="1536" spans="18:31" ht="75" customHeight="1">
      <c r="R1536" s="1"/>
      <c r="S1536" s="1"/>
      <c r="AD1536" s="1"/>
      <c r="AE1536" s="1"/>
    </row>
    <row r="1537" spans="18:31" ht="75" customHeight="1">
      <c r="R1537" s="1"/>
      <c r="S1537" s="1"/>
      <c r="AD1537" s="1"/>
      <c r="AE1537" s="1"/>
    </row>
    <row r="1538" spans="18:31" ht="75" customHeight="1">
      <c r="R1538" s="1"/>
      <c r="S1538" s="1"/>
      <c r="AD1538" s="1"/>
      <c r="AE1538" s="1"/>
    </row>
    <row r="1539" spans="18:31" ht="75" customHeight="1">
      <c r="R1539" s="1"/>
      <c r="S1539" s="1"/>
      <c r="AD1539" s="1"/>
      <c r="AE1539" s="1"/>
    </row>
    <row r="1540" spans="18:31" ht="75" customHeight="1">
      <c r="R1540" s="1"/>
      <c r="S1540" s="1"/>
      <c r="AD1540" s="1"/>
      <c r="AE1540" s="1"/>
    </row>
    <row r="1541" spans="18:31" ht="75" customHeight="1">
      <c r="R1541" s="1"/>
      <c r="S1541" s="1"/>
      <c r="AD1541" s="1"/>
      <c r="AE1541" s="1"/>
    </row>
    <row r="1542" spans="18:31" ht="75" customHeight="1">
      <c r="R1542" s="1"/>
      <c r="S1542" s="1"/>
      <c r="AD1542" s="1"/>
      <c r="AE1542" s="1"/>
    </row>
    <row r="1543" spans="18:31" ht="75" customHeight="1">
      <c r="R1543" s="1"/>
      <c r="S1543" s="1"/>
      <c r="AD1543" s="1"/>
      <c r="AE1543" s="1"/>
    </row>
    <row r="1544" spans="18:31" ht="75" customHeight="1">
      <c r="R1544" s="1"/>
      <c r="S1544" s="1"/>
      <c r="AD1544" s="1"/>
      <c r="AE1544" s="1"/>
    </row>
    <row r="1545" spans="18:31" ht="75" customHeight="1">
      <c r="R1545" s="1"/>
      <c r="S1545" s="1"/>
      <c r="AD1545" s="1"/>
      <c r="AE1545" s="1"/>
    </row>
    <row r="1546" spans="18:31" ht="75" customHeight="1">
      <c r="R1546" s="1"/>
      <c r="S1546" s="1"/>
      <c r="AD1546" s="1"/>
      <c r="AE1546" s="1"/>
    </row>
    <row r="1547" spans="18:31" ht="75" customHeight="1">
      <c r="R1547" s="1"/>
      <c r="S1547" s="1"/>
      <c r="AD1547" s="1"/>
      <c r="AE1547" s="1"/>
    </row>
    <row r="1548" spans="18:31" ht="75" customHeight="1">
      <c r="R1548" s="1"/>
      <c r="S1548" s="1"/>
      <c r="AD1548" s="1"/>
      <c r="AE1548" s="1"/>
    </row>
    <row r="1549" spans="18:31" ht="75" customHeight="1">
      <c r="R1549" s="1"/>
      <c r="S1549" s="1"/>
      <c r="AD1549" s="1"/>
      <c r="AE1549" s="1"/>
    </row>
    <row r="1550" spans="18:31" ht="75" customHeight="1">
      <c r="R1550" s="1"/>
      <c r="S1550" s="1"/>
      <c r="AD1550" s="1"/>
      <c r="AE1550" s="1"/>
    </row>
    <row r="1551" spans="18:31" ht="75" customHeight="1">
      <c r="R1551" s="1"/>
      <c r="S1551" s="1"/>
      <c r="AD1551" s="1"/>
      <c r="AE1551" s="1"/>
    </row>
    <row r="1552" spans="18:31" ht="75" customHeight="1">
      <c r="R1552" s="1"/>
      <c r="S1552" s="1"/>
      <c r="AD1552" s="1"/>
      <c r="AE1552" s="1"/>
    </row>
    <row r="1553" spans="18:31" ht="75" customHeight="1">
      <c r="R1553" s="1"/>
      <c r="S1553" s="1"/>
      <c r="AD1553" s="1"/>
      <c r="AE1553" s="1"/>
    </row>
    <row r="1554" spans="18:31" ht="75" customHeight="1">
      <c r="R1554" s="1"/>
      <c r="S1554" s="1"/>
      <c r="AD1554" s="1"/>
      <c r="AE1554" s="1"/>
    </row>
    <row r="1555" spans="18:31" ht="75" customHeight="1">
      <c r="R1555" s="1"/>
      <c r="S1555" s="1"/>
      <c r="AD1555" s="1"/>
      <c r="AE1555" s="1"/>
    </row>
    <row r="1556" spans="18:31" ht="75" customHeight="1">
      <c r="R1556" s="1"/>
      <c r="S1556" s="1"/>
      <c r="AD1556" s="1"/>
      <c r="AE1556" s="1"/>
    </row>
    <row r="1557" spans="18:31" ht="75" customHeight="1">
      <c r="R1557" s="1"/>
      <c r="S1557" s="1"/>
      <c r="AD1557" s="1"/>
      <c r="AE1557" s="1"/>
    </row>
    <row r="1558" spans="18:31" ht="75" customHeight="1">
      <c r="R1558" s="1"/>
      <c r="S1558" s="1"/>
      <c r="AD1558" s="1"/>
      <c r="AE1558" s="1"/>
    </row>
    <row r="1559" spans="18:31" ht="75" customHeight="1">
      <c r="R1559" s="1"/>
      <c r="S1559" s="1"/>
      <c r="AD1559" s="1"/>
      <c r="AE1559" s="1"/>
    </row>
    <row r="1560" spans="18:31" ht="75" customHeight="1">
      <c r="R1560" s="1"/>
      <c r="S1560" s="1"/>
      <c r="AD1560" s="1"/>
      <c r="AE1560" s="1"/>
    </row>
    <row r="1561" spans="18:31" ht="75" customHeight="1">
      <c r="R1561" s="1"/>
      <c r="S1561" s="1"/>
      <c r="AD1561" s="1"/>
      <c r="AE1561" s="1"/>
    </row>
    <row r="1562" spans="18:31" ht="75" customHeight="1">
      <c r="R1562" s="1"/>
      <c r="S1562" s="1"/>
      <c r="AD1562" s="1"/>
      <c r="AE1562" s="1"/>
    </row>
    <row r="1563" spans="18:31" ht="75" customHeight="1">
      <c r="R1563" s="1"/>
      <c r="S1563" s="1"/>
      <c r="AD1563" s="1"/>
      <c r="AE1563" s="1"/>
    </row>
    <row r="1564" spans="18:31" ht="75" customHeight="1">
      <c r="R1564" s="1"/>
      <c r="S1564" s="1"/>
      <c r="AD1564" s="1"/>
      <c r="AE1564" s="1"/>
    </row>
    <row r="1565" spans="18:31" ht="75" customHeight="1">
      <c r="R1565" s="1"/>
      <c r="S1565" s="1"/>
      <c r="AD1565" s="1"/>
      <c r="AE1565" s="1"/>
    </row>
    <row r="1566" spans="18:31" ht="75" customHeight="1">
      <c r="R1566" s="1"/>
      <c r="S1566" s="1"/>
      <c r="AD1566" s="1"/>
      <c r="AE1566" s="1"/>
    </row>
    <row r="1567" spans="18:31" ht="75" customHeight="1">
      <c r="R1567" s="1"/>
      <c r="S1567" s="1"/>
      <c r="AD1567" s="1"/>
      <c r="AE1567" s="1"/>
    </row>
    <row r="1568" spans="18:31" ht="75" customHeight="1">
      <c r="R1568" s="1"/>
      <c r="S1568" s="1"/>
      <c r="AD1568" s="1"/>
      <c r="AE1568" s="1"/>
    </row>
    <row r="1569" spans="18:31" ht="75" customHeight="1">
      <c r="R1569" s="1"/>
      <c r="S1569" s="1"/>
      <c r="AD1569" s="1"/>
      <c r="AE1569" s="1"/>
    </row>
    <row r="1570" spans="18:31" ht="75" customHeight="1">
      <c r="R1570" s="1"/>
      <c r="S1570" s="1"/>
      <c r="AD1570" s="1"/>
      <c r="AE1570" s="1"/>
    </row>
    <row r="1571" spans="18:31" ht="75" customHeight="1">
      <c r="R1571" s="1"/>
      <c r="S1571" s="1"/>
      <c r="AD1571" s="1"/>
      <c r="AE1571" s="1"/>
    </row>
    <row r="1572" spans="18:31" ht="75" customHeight="1">
      <c r="R1572" s="1"/>
      <c r="S1572" s="1"/>
      <c r="AD1572" s="1"/>
      <c r="AE1572" s="1"/>
    </row>
    <row r="1573" spans="18:31" ht="75" customHeight="1">
      <c r="R1573" s="1"/>
      <c r="S1573" s="1"/>
      <c r="AD1573" s="1"/>
      <c r="AE1573" s="1"/>
    </row>
    <row r="1574" spans="18:31" ht="75" customHeight="1">
      <c r="R1574" s="1"/>
      <c r="S1574" s="1"/>
      <c r="AD1574" s="1"/>
      <c r="AE1574" s="1"/>
    </row>
    <row r="1575" spans="18:31" ht="75" customHeight="1">
      <c r="R1575" s="1"/>
      <c r="S1575" s="1"/>
      <c r="AD1575" s="1"/>
      <c r="AE1575" s="1"/>
    </row>
    <row r="1576" spans="18:31" ht="75" customHeight="1">
      <c r="R1576" s="1"/>
      <c r="S1576" s="1"/>
      <c r="AD1576" s="1"/>
      <c r="AE1576" s="1"/>
    </row>
    <row r="1577" spans="18:31" ht="75" customHeight="1">
      <c r="R1577" s="1"/>
      <c r="S1577" s="1"/>
      <c r="AD1577" s="1"/>
      <c r="AE1577" s="1"/>
    </row>
    <row r="1578" spans="18:31" ht="75" customHeight="1">
      <c r="R1578" s="1"/>
      <c r="S1578" s="1"/>
      <c r="AD1578" s="1"/>
      <c r="AE1578" s="1"/>
    </row>
    <row r="1579" spans="18:31" ht="75" customHeight="1">
      <c r="R1579" s="1"/>
      <c r="S1579" s="1"/>
      <c r="AD1579" s="1"/>
      <c r="AE1579" s="1"/>
    </row>
    <row r="1580" spans="18:31" ht="75" customHeight="1">
      <c r="R1580" s="1"/>
      <c r="S1580" s="1"/>
      <c r="AD1580" s="1"/>
      <c r="AE1580" s="1"/>
    </row>
    <row r="1581" spans="18:31" ht="75" customHeight="1">
      <c r="R1581" s="1"/>
      <c r="S1581" s="1"/>
      <c r="AD1581" s="1"/>
      <c r="AE1581" s="1"/>
    </row>
    <row r="1582" spans="18:31" ht="75" customHeight="1">
      <c r="R1582" s="1"/>
      <c r="S1582" s="1"/>
      <c r="AD1582" s="1"/>
      <c r="AE1582" s="1"/>
    </row>
    <row r="1583" spans="18:31" ht="75" customHeight="1">
      <c r="R1583" s="1"/>
      <c r="S1583" s="1"/>
      <c r="AD1583" s="1"/>
      <c r="AE1583" s="1"/>
    </row>
    <row r="1584" spans="18:31" ht="75" customHeight="1">
      <c r="R1584" s="1"/>
      <c r="S1584" s="1"/>
      <c r="AD1584" s="1"/>
      <c r="AE1584" s="1"/>
    </row>
    <row r="1585" spans="18:31" ht="75" customHeight="1">
      <c r="R1585" s="1"/>
      <c r="S1585" s="1"/>
      <c r="AD1585" s="1"/>
      <c r="AE1585" s="1"/>
    </row>
    <row r="1586" spans="18:31" ht="75" customHeight="1">
      <c r="R1586" s="1"/>
      <c r="S1586" s="1"/>
      <c r="AD1586" s="1"/>
      <c r="AE1586" s="1"/>
    </row>
    <row r="1587" spans="18:31" ht="75" customHeight="1">
      <c r="R1587" s="1"/>
      <c r="S1587" s="1"/>
      <c r="AD1587" s="1"/>
      <c r="AE1587" s="1"/>
    </row>
    <row r="1588" spans="18:31" ht="75" customHeight="1">
      <c r="R1588" s="1"/>
      <c r="S1588" s="1"/>
      <c r="AD1588" s="1"/>
      <c r="AE1588" s="1"/>
    </row>
    <row r="1589" spans="18:31" ht="75" customHeight="1">
      <c r="R1589" s="1"/>
      <c r="S1589" s="1"/>
      <c r="AD1589" s="1"/>
      <c r="AE1589" s="1"/>
    </row>
    <row r="1590" spans="18:31" ht="75" customHeight="1">
      <c r="R1590" s="1"/>
      <c r="S1590" s="1"/>
      <c r="AD1590" s="1"/>
      <c r="AE1590" s="1"/>
    </row>
    <row r="1591" spans="18:31" ht="75" customHeight="1">
      <c r="R1591" s="1"/>
      <c r="S1591" s="1"/>
      <c r="AD1591" s="1"/>
      <c r="AE1591" s="1"/>
    </row>
    <row r="1592" spans="18:31" ht="75" customHeight="1">
      <c r="R1592" s="1"/>
      <c r="S1592" s="1"/>
      <c r="AD1592" s="1"/>
      <c r="AE1592" s="1"/>
    </row>
    <row r="1593" spans="18:31" ht="75" customHeight="1">
      <c r="R1593" s="1"/>
      <c r="S1593" s="1"/>
      <c r="AD1593" s="1"/>
      <c r="AE1593" s="1"/>
    </row>
    <row r="1594" spans="18:31" ht="75" customHeight="1">
      <c r="R1594" s="1"/>
      <c r="S1594" s="1"/>
      <c r="AD1594" s="1"/>
      <c r="AE1594" s="1"/>
    </row>
    <row r="1595" spans="18:31" ht="75" customHeight="1">
      <c r="R1595" s="1"/>
      <c r="S1595" s="1"/>
      <c r="AD1595" s="1"/>
      <c r="AE1595" s="1"/>
    </row>
    <row r="1596" spans="18:31" ht="75" customHeight="1">
      <c r="R1596" s="1"/>
      <c r="S1596" s="1"/>
      <c r="AD1596" s="1"/>
      <c r="AE1596" s="1"/>
    </row>
    <row r="1597" spans="18:31" ht="75" customHeight="1">
      <c r="R1597" s="1"/>
      <c r="S1597" s="1"/>
      <c r="AD1597" s="1"/>
      <c r="AE1597" s="1"/>
    </row>
    <row r="1598" spans="18:31" ht="75" customHeight="1">
      <c r="R1598" s="1"/>
      <c r="S1598" s="1"/>
      <c r="AD1598" s="1"/>
      <c r="AE1598" s="1"/>
    </row>
    <row r="1599" spans="18:31" ht="75" customHeight="1">
      <c r="R1599" s="1"/>
      <c r="S1599" s="1"/>
      <c r="AD1599" s="1"/>
      <c r="AE1599" s="1"/>
    </row>
    <row r="1600" spans="18:31" ht="75" customHeight="1">
      <c r="R1600" s="1"/>
      <c r="S1600" s="1"/>
      <c r="AD1600" s="1"/>
      <c r="AE1600" s="1"/>
    </row>
    <row r="1601" spans="18:31" ht="75" customHeight="1">
      <c r="R1601" s="1"/>
      <c r="S1601" s="1"/>
      <c r="AD1601" s="1"/>
      <c r="AE1601" s="1"/>
    </row>
    <row r="1602" spans="18:31" ht="75" customHeight="1">
      <c r="R1602" s="1"/>
      <c r="S1602" s="1"/>
      <c r="AD1602" s="1"/>
      <c r="AE1602" s="1"/>
    </row>
    <row r="1603" spans="18:31" ht="75" customHeight="1">
      <c r="R1603" s="1"/>
      <c r="S1603" s="1"/>
      <c r="AD1603" s="1"/>
      <c r="AE1603" s="1"/>
    </row>
    <row r="1604" spans="18:31" ht="75" customHeight="1">
      <c r="R1604" s="1"/>
      <c r="S1604" s="1"/>
      <c r="AD1604" s="1"/>
      <c r="AE1604" s="1"/>
    </row>
    <row r="1605" spans="18:31" ht="75" customHeight="1">
      <c r="R1605" s="1"/>
      <c r="S1605" s="1"/>
      <c r="AD1605" s="1"/>
      <c r="AE1605" s="1"/>
    </row>
    <row r="1606" spans="18:31" ht="75" customHeight="1">
      <c r="R1606" s="1"/>
      <c r="S1606" s="1"/>
      <c r="AD1606" s="1"/>
      <c r="AE1606" s="1"/>
    </row>
    <row r="1607" spans="18:31" ht="75" customHeight="1">
      <c r="R1607" s="1"/>
      <c r="S1607" s="1"/>
      <c r="AD1607" s="1"/>
      <c r="AE1607" s="1"/>
    </row>
    <row r="1608" spans="18:31" ht="75" customHeight="1">
      <c r="R1608" s="1"/>
      <c r="S1608" s="1"/>
      <c r="AD1608" s="1"/>
      <c r="AE1608" s="1"/>
    </row>
    <row r="1609" spans="18:31" ht="75" customHeight="1">
      <c r="R1609" s="1"/>
      <c r="S1609" s="1"/>
      <c r="AD1609" s="1"/>
      <c r="AE1609" s="1"/>
    </row>
    <row r="1610" spans="18:31" ht="75" customHeight="1">
      <c r="R1610" s="1"/>
      <c r="S1610" s="1"/>
      <c r="AD1610" s="1"/>
      <c r="AE1610" s="1"/>
    </row>
    <row r="1611" spans="18:31" ht="75" customHeight="1">
      <c r="R1611" s="1"/>
      <c r="S1611" s="1"/>
      <c r="AD1611" s="1"/>
      <c r="AE1611" s="1"/>
    </row>
    <row r="1612" spans="18:31" ht="75" customHeight="1">
      <c r="R1612" s="1"/>
      <c r="S1612" s="1"/>
      <c r="AD1612" s="1"/>
      <c r="AE1612" s="1"/>
    </row>
    <row r="1613" spans="18:31" ht="75" customHeight="1">
      <c r="R1613" s="1"/>
      <c r="S1613" s="1"/>
      <c r="AD1613" s="1"/>
      <c r="AE1613" s="1"/>
    </row>
    <row r="1614" spans="18:31" ht="75" customHeight="1">
      <c r="R1614" s="1"/>
      <c r="S1614" s="1"/>
      <c r="AD1614" s="1"/>
      <c r="AE1614" s="1"/>
    </row>
    <row r="1615" spans="18:31" ht="75" customHeight="1">
      <c r="R1615" s="1"/>
      <c r="S1615" s="1"/>
      <c r="AD1615" s="1"/>
      <c r="AE1615" s="1"/>
    </row>
    <row r="1616" spans="18:31" ht="75" customHeight="1">
      <c r="R1616" s="1"/>
      <c r="S1616" s="1"/>
      <c r="AD1616" s="1"/>
      <c r="AE1616" s="1"/>
    </row>
    <row r="1617" spans="18:31" ht="75" customHeight="1">
      <c r="R1617" s="1"/>
      <c r="S1617" s="1"/>
      <c r="AD1617" s="1"/>
      <c r="AE1617" s="1"/>
    </row>
    <row r="1618" spans="18:31" ht="75" customHeight="1">
      <c r="R1618" s="1"/>
      <c r="S1618" s="1"/>
      <c r="AD1618" s="1"/>
      <c r="AE1618" s="1"/>
    </row>
    <row r="1619" spans="18:31" ht="75" customHeight="1">
      <c r="R1619" s="1"/>
      <c r="S1619" s="1"/>
      <c r="AD1619" s="1"/>
      <c r="AE1619" s="1"/>
    </row>
    <row r="1620" spans="18:31" ht="75" customHeight="1">
      <c r="R1620" s="1"/>
      <c r="S1620" s="1"/>
      <c r="AD1620" s="1"/>
      <c r="AE1620" s="1"/>
    </row>
    <row r="1621" spans="18:31" ht="75" customHeight="1">
      <c r="R1621" s="1"/>
      <c r="S1621" s="1"/>
      <c r="AD1621" s="1"/>
      <c r="AE1621" s="1"/>
    </row>
    <row r="1622" spans="18:31" ht="75" customHeight="1">
      <c r="R1622" s="1"/>
      <c r="S1622" s="1"/>
      <c r="AD1622" s="1"/>
      <c r="AE1622" s="1"/>
    </row>
    <row r="1623" spans="18:31" ht="75" customHeight="1">
      <c r="R1623" s="1"/>
      <c r="S1623" s="1"/>
      <c r="AD1623" s="1"/>
      <c r="AE1623" s="1"/>
    </row>
    <row r="1624" spans="18:31" ht="75" customHeight="1">
      <c r="R1624" s="1"/>
      <c r="S1624" s="1"/>
      <c r="AD1624" s="1"/>
      <c r="AE1624" s="1"/>
    </row>
    <row r="1625" spans="18:31" ht="75" customHeight="1">
      <c r="R1625" s="1"/>
      <c r="S1625" s="1"/>
      <c r="AD1625" s="1"/>
      <c r="AE1625" s="1"/>
    </row>
    <row r="1626" spans="18:31" ht="75" customHeight="1">
      <c r="R1626" s="1"/>
      <c r="S1626" s="1"/>
      <c r="AD1626" s="1"/>
      <c r="AE1626" s="1"/>
    </row>
    <row r="1627" spans="18:31" ht="75" customHeight="1">
      <c r="R1627" s="1"/>
      <c r="S1627" s="1"/>
      <c r="AD1627" s="1"/>
      <c r="AE1627" s="1"/>
    </row>
    <row r="1628" spans="18:31" ht="75" customHeight="1">
      <c r="R1628" s="1"/>
      <c r="S1628" s="1"/>
      <c r="AD1628" s="1"/>
      <c r="AE1628" s="1"/>
    </row>
    <row r="1629" spans="18:31" ht="75" customHeight="1">
      <c r="R1629" s="1"/>
      <c r="S1629" s="1"/>
      <c r="AD1629" s="1"/>
      <c r="AE1629" s="1"/>
    </row>
    <row r="1630" spans="18:31" ht="75" customHeight="1">
      <c r="R1630" s="1"/>
      <c r="S1630" s="1"/>
      <c r="AD1630" s="1"/>
      <c r="AE1630" s="1"/>
    </row>
    <row r="1631" spans="18:31" ht="75" customHeight="1">
      <c r="R1631" s="1"/>
      <c r="S1631" s="1"/>
      <c r="AD1631" s="1"/>
      <c r="AE1631" s="1"/>
    </row>
    <row r="1632" spans="18:31" ht="75" customHeight="1">
      <c r="R1632" s="1"/>
      <c r="S1632" s="1"/>
      <c r="AD1632" s="1"/>
      <c r="AE1632" s="1"/>
    </row>
    <row r="1633" spans="18:31" ht="75" customHeight="1">
      <c r="R1633" s="1"/>
      <c r="S1633" s="1"/>
      <c r="AD1633" s="1"/>
      <c r="AE1633" s="1"/>
    </row>
    <row r="1634" spans="18:31" ht="75" customHeight="1">
      <c r="R1634" s="1"/>
      <c r="S1634" s="1"/>
      <c r="AD1634" s="1"/>
      <c r="AE1634" s="1"/>
    </row>
    <row r="1635" spans="18:31" ht="75" customHeight="1">
      <c r="R1635" s="1"/>
      <c r="S1635" s="1"/>
      <c r="AD1635" s="1"/>
      <c r="AE1635" s="1"/>
    </row>
    <row r="1636" spans="18:31" ht="75" customHeight="1">
      <c r="R1636" s="1"/>
      <c r="S1636" s="1"/>
      <c r="AD1636" s="1"/>
      <c r="AE1636" s="1"/>
    </row>
    <row r="1637" spans="18:31" ht="75" customHeight="1">
      <c r="R1637" s="1"/>
      <c r="S1637" s="1"/>
      <c r="AD1637" s="1"/>
      <c r="AE1637" s="1"/>
    </row>
    <row r="1638" spans="18:31" ht="75" customHeight="1">
      <c r="R1638" s="1"/>
      <c r="S1638" s="1"/>
      <c r="AD1638" s="1"/>
      <c r="AE1638" s="1"/>
    </row>
    <row r="1639" spans="18:31" ht="75" customHeight="1">
      <c r="R1639" s="1"/>
      <c r="S1639" s="1"/>
      <c r="AD1639" s="1"/>
      <c r="AE1639" s="1"/>
    </row>
    <row r="1640" spans="18:31" ht="75" customHeight="1">
      <c r="R1640" s="1"/>
      <c r="S1640" s="1"/>
      <c r="AD1640" s="1"/>
      <c r="AE1640" s="1"/>
    </row>
    <row r="1641" spans="18:31" ht="75" customHeight="1">
      <c r="R1641" s="1"/>
      <c r="S1641" s="1"/>
      <c r="AD1641" s="1"/>
      <c r="AE1641" s="1"/>
    </row>
    <row r="1642" spans="18:31" ht="75" customHeight="1">
      <c r="R1642" s="1"/>
      <c r="S1642" s="1"/>
      <c r="AD1642" s="1"/>
      <c r="AE1642" s="1"/>
    </row>
    <row r="1643" spans="18:31" ht="75" customHeight="1">
      <c r="R1643" s="1"/>
      <c r="S1643" s="1"/>
      <c r="AD1643" s="1"/>
      <c r="AE1643" s="1"/>
    </row>
    <row r="1644" spans="18:31" ht="75" customHeight="1">
      <c r="R1644" s="1"/>
      <c r="S1644" s="1"/>
      <c r="AD1644" s="1"/>
      <c r="AE1644" s="1"/>
    </row>
    <row r="1645" spans="18:31" ht="75" customHeight="1">
      <c r="R1645" s="1"/>
      <c r="S1645" s="1"/>
      <c r="AD1645" s="1"/>
      <c r="AE1645" s="1"/>
    </row>
    <row r="1646" spans="18:31" ht="75" customHeight="1">
      <c r="R1646" s="1"/>
      <c r="S1646" s="1"/>
      <c r="AD1646" s="1"/>
      <c r="AE1646" s="1"/>
    </row>
    <row r="1647" spans="18:31" ht="75" customHeight="1">
      <c r="R1647" s="1"/>
      <c r="S1647" s="1"/>
      <c r="AD1647" s="1"/>
      <c r="AE1647" s="1"/>
    </row>
    <row r="1648" spans="18:31" ht="75" customHeight="1">
      <c r="R1648" s="1"/>
      <c r="S1648" s="1"/>
      <c r="AD1648" s="1"/>
      <c r="AE1648" s="1"/>
    </row>
    <row r="1649" spans="18:31" ht="75" customHeight="1">
      <c r="R1649" s="1"/>
      <c r="S1649" s="1"/>
      <c r="AD1649" s="1"/>
      <c r="AE1649" s="1"/>
    </row>
    <row r="1650" spans="18:31" ht="75" customHeight="1">
      <c r="R1650" s="1"/>
      <c r="S1650" s="1"/>
      <c r="AD1650" s="1"/>
      <c r="AE1650" s="1"/>
    </row>
    <row r="1651" spans="18:31" ht="75" customHeight="1">
      <c r="R1651" s="1"/>
      <c r="S1651" s="1"/>
      <c r="AD1651" s="1"/>
      <c r="AE1651" s="1"/>
    </row>
    <row r="1652" spans="18:31" ht="75" customHeight="1">
      <c r="R1652" s="1"/>
      <c r="S1652" s="1"/>
      <c r="AD1652" s="1"/>
      <c r="AE1652" s="1"/>
    </row>
    <row r="1653" spans="18:31" ht="75" customHeight="1">
      <c r="R1653" s="1"/>
      <c r="S1653" s="1"/>
      <c r="AD1653" s="1"/>
      <c r="AE1653" s="1"/>
    </row>
    <row r="1654" spans="18:31" ht="75" customHeight="1">
      <c r="R1654" s="1"/>
      <c r="S1654" s="1"/>
      <c r="AD1654" s="1"/>
      <c r="AE1654" s="1"/>
    </row>
    <row r="1655" spans="18:31" ht="75" customHeight="1">
      <c r="R1655" s="1"/>
      <c r="S1655" s="1"/>
      <c r="AD1655" s="1"/>
      <c r="AE1655" s="1"/>
    </row>
    <row r="1656" spans="18:31" ht="75" customHeight="1">
      <c r="R1656" s="1"/>
      <c r="S1656" s="1"/>
      <c r="AD1656" s="1"/>
      <c r="AE1656" s="1"/>
    </row>
    <row r="1657" spans="18:31" ht="75" customHeight="1">
      <c r="R1657" s="1"/>
      <c r="S1657" s="1"/>
      <c r="AD1657" s="1"/>
      <c r="AE1657" s="1"/>
    </row>
    <row r="1658" spans="18:31" ht="75" customHeight="1">
      <c r="R1658" s="1"/>
      <c r="S1658" s="1"/>
      <c r="AD1658" s="1"/>
      <c r="AE1658" s="1"/>
    </row>
    <row r="1659" spans="18:31" ht="75" customHeight="1">
      <c r="R1659" s="1"/>
      <c r="S1659" s="1"/>
      <c r="AD1659" s="1"/>
      <c r="AE1659" s="1"/>
    </row>
    <row r="1660" spans="18:31" ht="75" customHeight="1">
      <c r="R1660" s="1"/>
      <c r="S1660" s="1"/>
      <c r="AD1660" s="1"/>
      <c r="AE1660" s="1"/>
    </row>
    <row r="1661" spans="18:31" ht="75" customHeight="1">
      <c r="R1661" s="1"/>
      <c r="S1661" s="1"/>
      <c r="AD1661" s="1"/>
      <c r="AE1661" s="1"/>
    </row>
    <row r="1662" spans="18:31" ht="75" customHeight="1">
      <c r="R1662" s="1"/>
      <c r="S1662" s="1"/>
      <c r="AD1662" s="1"/>
      <c r="AE1662" s="1"/>
    </row>
    <row r="1663" spans="18:31" ht="75" customHeight="1">
      <c r="R1663" s="1"/>
      <c r="S1663" s="1"/>
      <c r="AD1663" s="1"/>
      <c r="AE1663" s="1"/>
    </row>
    <row r="1664" spans="18:31" ht="75" customHeight="1">
      <c r="R1664" s="1"/>
      <c r="S1664" s="1"/>
      <c r="AD1664" s="1"/>
      <c r="AE1664" s="1"/>
    </row>
    <row r="1665" spans="18:31" ht="75" customHeight="1">
      <c r="R1665" s="1"/>
      <c r="S1665" s="1"/>
      <c r="AD1665" s="1"/>
      <c r="AE1665" s="1"/>
    </row>
    <row r="1666" spans="18:31" ht="75" customHeight="1">
      <c r="R1666" s="1"/>
      <c r="S1666" s="1"/>
      <c r="AD1666" s="1"/>
      <c r="AE1666" s="1"/>
    </row>
    <row r="1667" spans="18:31" ht="75" customHeight="1">
      <c r="R1667" s="1"/>
      <c r="S1667" s="1"/>
      <c r="AD1667" s="1"/>
      <c r="AE1667" s="1"/>
    </row>
    <row r="1668" spans="18:31" ht="75" customHeight="1">
      <c r="R1668" s="1"/>
      <c r="S1668" s="1"/>
      <c r="AD1668" s="1"/>
      <c r="AE1668" s="1"/>
    </row>
    <row r="1669" spans="18:31" ht="75" customHeight="1">
      <c r="R1669" s="1"/>
      <c r="S1669" s="1"/>
      <c r="AD1669" s="1"/>
      <c r="AE1669" s="1"/>
    </row>
    <row r="1670" spans="18:31" ht="75" customHeight="1">
      <c r="R1670" s="1"/>
      <c r="S1670" s="1"/>
      <c r="AD1670" s="1"/>
      <c r="AE1670" s="1"/>
    </row>
    <row r="1671" spans="18:31" ht="75" customHeight="1">
      <c r="R1671" s="1"/>
      <c r="S1671" s="1"/>
      <c r="AD1671" s="1"/>
      <c r="AE1671" s="1"/>
    </row>
    <row r="1672" spans="18:31" ht="75" customHeight="1">
      <c r="R1672" s="1"/>
      <c r="S1672" s="1"/>
      <c r="AD1672" s="1"/>
      <c r="AE1672" s="1"/>
    </row>
    <row r="1673" spans="18:31" ht="75" customHeight="1">
      <c r="R1673" s="1"/>
      <c r="S1673" s="1"/>
      <c r="AD1673" s="1"/>
      <c r="AE1673" s="1"/>
    </row>
    <row r="1674" spans="18:31" ht="75" customHeight="1">
      <c r="R1674" s="1"/>
      <c r="S1674" s="1"/>
      <c r="AD1674" s="1"/>
      <c r="AE1674" s="1"/>
    </row>
    <row r="1675" spans="18:31" ht="75" customHeight="1">
      <c r="R1675" s="1"/>
      <c r="S1675" s="1"/>
      <c r="AD1675" s="1"/>
      <c r="AE1675" s="1"/>
    </row>
    <row r="1676" spans="18:31" ht="75" customHeight="1">
      <c r="R1676" s="1"/>
      <c r="S1676" s="1"/>
      <c r="AD1676" s="1"/>
      <c r="AE1676" s="1"/>
    </row>
    <row r="1677" spans="18:31" ht="75" customHeight="1">
      <c r="R1677" s="1"/>
      <c r="S1677" s="1"/>
      <c r="AD1677" s="1"/>
      <c r="AE1677" s="1"/>
    </row>
    <row r="1678" spans="18:31" ht="75" customHeight="1">
      <c r="R1678" s="1"/>
      <c r="S1678" s="1"/>
      <c r="AD1678" s="1"/>
      <c r="AE1678" s="1"/>
    </row>
    <row r="1679" spans="18:31" ht="75" customHeight="1">
      <c r="R1679" s="1"/>
      <c r="S1679" s="1"/>
      <c r="AD1679" s="1"/>
      <c r="AE1679" s="1"/>
    </row>
    <row r="1680" spans="18:31" ht="75" customHeight="1">
      <c r="R1680" s="1"/>
      <c r="S1680" s="1"/>
      <c r="AD1680" s="1"/>
      <c r="AE1680" s="1"/>
    </row>
    <row r="1681" spans="18:31" ht="75" customHeight="1">
      <c r="R1681" s="1"/>
      <c r="S1681" s="1"/>
      <c r="AD1681" s="1"/>
      <c r="AE1681" s="1"/>
    </row>
    <row r="1682" spans="18:31" ht="75" customHeight="1">
      <c r="R1682" s="1"/>
      <c r="S1682" s="1"/>
      <c r="AD1682" s="1"/>
      <c r="AE1682" s="1"/>
    </row>
    <row r="1683" spans="18:31" ht="75" customHeight="1">
      <c r="R1683" s="1"/>
      <c r="S1683" s="1"/>
      <c r="AD1683" s="1"/>
      <c r="AE1683" s="1"/>
    </row>
    <row r="1684" spans="18:31" ht="75" customHeight="1">
      <c r="R1684" s="1"/>
      <c r="S1684" s="1"/>
      <c r="AD1684" s="1"/>
      <c r="AE1684" s="1"/>
    </row>
    <row r="1685" spans="18:31" ht="75" customHeight="1">
      <c r="R1685" s="1"/>
      <c r="S1685" s="1"/>
      <c r="AD1685" s="1"/>
      <c r="AE1685" s="1"/>
    </row>
    <row r="1686" spans="18:31" ht="75" customHeight="1">
      <c r="R1686" s="1"/>
      <c r="S1686" s="1"/>
      <c r="AD1686" s="1"/>
      <c r="AE1686" s="1"/>
    </row>
    <row r="1687" spans="18:31" ht="75" customHeight="1">
      <c r="R1687" s="1"/>
      <c r="S1687" s="1"/>
      <c r="AD1687" s="1"/>
      <c r="AE1687" s="1"/>
    </row>
    <row r="1688" spans="18:31" ht="75" customHeight="1">
      <c r="R1688" s="1"/>
      <c r="S1688" s="1"/>
      <c r="AD1688" s="1"/>
      <c r="AE1688" s="1"/>
    </row>
    <row r="1689" spans="18:31" ht="75" customHeight="1">
      <c r="R1689" s="1"/>
      <c r="S1689" s="1"/>
      <c r="AD1689" s="1"/>
      <c r="AE1689" s="1"/>
    </row>
    <row r="1690" spans="18:31" ht="75" customHeight="1">
      <c r="R1690" s="1"/>
      <c r="S1690" s="1"/>
      <c r="AD1690" s="1"/>
      <c r="AE1690" s="1"/>
    </row>
    <row r="1691" spans="18:31" ht="75" customHeight="1">
      <c r="R1691" s="1"/>
      <c r="S1691" s="1"/>
      <c r="AD1691" s="1"/>
      <c r="AE1691" s="1"/>
    </row>
    <row r="1692" spans="18:31" ht="75" customHeight="1">
      <c r="R1692" s="1"/>
      <c r="S1692" s="1"/>
      <c r="AD1692" s="1"/>
      <c r="AE1692" s="1"/>
    </row>
    <row r="1693" spans="18:31" ht="75" customHeight="1">
      <c r="R1693" s="1"/>
      <c r="S1693" s="1"/>
      <c r="AD1693" s="1"/>
      <c r="AE1693" s="1"/>
    </row>
    <row r="1694" spans="18:31" ht="75" customHeight="1">
      <c r="R1694" s="1"/>
      <c r="S1694" s="1"/>
      <c r="AD1694" s="1"/>
      <c r="AE1694" s="1"/>
    </row>
    <row r="1695" spans="18:31" ht="75" customHeight="1">
      <c r="R1695" s="1"/>
      <c r="S1695" s="1"/>
      <c r="AD1695" s="1"/>
      <c r="AE1695" s="1"/>
    </row>
    <row r="1696" spans="18:31" ht="75" customHeight="1">
      <c r="R1696" s="1"/>
      <c r="S1696" s="1"/>
      <c r="AD1696" s="1"/>
      <c r="AE1696" s="1"/>
    </row>
    <row r="1697" spans="18:31" ht="75" customHeight="1">
      <c r="R1697" s="1"/>
      <c r="S1697" s="1"/>
      <c r="AD1697" s="1"/>
      <c r="AE1697" s="1"/>
    </row>
    <row r="1698" spans="18:31" ht="75" customHeight="1">
      <c r="R1698" s="1"/>
      <c r="S1698" s="1"/>
      <c r="AD1698" s="1"/>
      <c r="AE1698" s="1"/>
    </row>
    <row r="1699" spans="18:31" ht="75" customHeight="1">
      <c r="R1699" s="1"/>
      <c r="S1699" s="1"/>
      <c r="AD1699" s="1"/>
      <c r="AE1699" s="1"/>
    </row>
    <row r="1700" spans="18:31" ht="75" customHeight="1">
      <c r="R1700" s="1"/>
      <c r="S1700" s="1"/>
      <c r="AD1700" s="1"/>
      <c r="AE1700" s="1"/>
    </row>
    <row r="1701" spans="18:31" ht="75" customHeight="1">
      <c r="R1701" s="1"/>
      <c r="S1701" s="1"/>
      <c r="AD1701" s="1"/>
      <c r="AE1701" s="1"/>
    </row>
    <row r="1702" spans="18:31" ht="75" customHeight="1">
      <c r="R1702" s="1"/>
      <c r="S1702" s="1"/>
      <c r="AD1702" s="1"/>
      <c r="AE1702" s="1"/>
    </row>
    <row r="1703" spans="18:31" ht="75" customHeight="1">
      <c r="R1703" s="1"/>
      <c r="S1703" s="1"/>
      <c r="AD1703" s="1"/>
      <c r="AE1703" s="1"/>
    </row>
    <row r="1704" spans="18:31" ht="75" customHeight="1">
      <c r="R1704" s="1"/>
      <c r="S1704" s="1"/>
      <c r="AD1704" s="1"/>
      <c r="AE1704" s="1"/>
    </row>
    <row r="1705" spans="18:31" ht="75" customHeight="1">
      <c r="R1705" s="1"/>
      <c r="S1705" s="1"/>
      <c r="AD1705" s="1"/>
      <c r="AE1705" s="1"/>
    </row>
    <row r="1706" spans="18:31" ht="75" customHeight="1">
      <c r="R1706" s="1"/>
      <c r="S1706" s="1"/>
      <c r="AD1706" s="1"/>
      <c r="AE1706" s="1"/>
    </row>
    <row r="1707" spans="18:31" ht="75" customHeight="1">
      <c r="R1707" s="1"/>
      <c r="S1707" s="1"/>
      <c r="AD1707" s="1"/>
      <c r="AE1707" s="1"/>
    </row>
    <row r="1708" spans="18:31" ht="75" customHeight="1">
      <c r="R1708" s="1"/>
      <c r="S1708" s="1"/>
      <c r="AD1708" s="1"/>
      <c r="AE1708" s="1"/>
    </row>
    <row r="1709" spans="18:31" ht="75" customHeight="1">
      <c r="R1709" s="1"/>
      <c r="S1709" s="1"/>
      <c r="AD1709" s="1"/>
      <c r="AE1709" s="1"/>
    </row>
    <row r="1710" spans="18:31" ht="75" customHeight="1">
      <c r="R1710" s="1"/>
      <c r="S1710" s="1"/>
      <c r="AD1710" s="1"/>
      <c r="AE1710" s="1"/>
    </row>
    <row r="1711" spans="18:31" ht="75" customHeight="1">
      <c r="R1711" s="1"/>
      <c r="S1711" s="1"/>
      <c r="AD1711" s="1"/>
      <c r="AE1711" s="1"/>
    </row>
    <row r="1712" spans="18:31" ht="75" customHeight="1">
      <c r="R1712" s="1"/>
      <c r="S1712" s="1"/>
      <c r="AD1712" s="1"/>
      <c r="AE1712" s="1"/>
    </row>
    <row r="1713" spans="18:31" ht="75" customHeight="1">
      <c r="R1713" s="1"/>
      <c r="S1713" s="1"/>
      <c r="AD1713" s="1"/>
      <c r="AE1713" s="1"/>
    </row>
    <row r="1714" spans="18:31" ht="75" customHeight="1">
      <c r="R1714" s="1"/>
      <c r="S1714" s="1"/>
      <c r="AD1714" s="1"/>
      <c r="AE1714" s="1"/>
    </row>
    <row r="1715" spans="18:31" ht="75" customHeight="1">
      <c r="R1715" s="1"/>
      <c r="S1715" s="1"/>
      <c r="AD1715" s="1"/>
      <c r="AE1715" s="1"/>
    </row>
    <row r="1716" spans="18:31" ht="75" customHeight="1">
      <c r="R1716" s="1"/>
      <c r="S1716" s="1"/>
      <c r="AD1716" s="1"/>
      <c r="AE1716" s="1"/>
    </row>
    <row r="1717" spans="18:31" ht="75" customHeight="1">
      <c r="R1717" s="1"/>
      <c r="S1717" s="1"/>
      <c r="AD1717" s="1"/>
      <c r="AE1717" s="1"/>
    </row>
    <row r="1718" spans="18:31" ht="75" customHeight="1">
      <c r="R1718" s="1"/>
      <c r="S1718" s="1"/>
      <c r="AD1718" s="1"/>
      <c r="AE1718" s="1"/>
    </row>
    <row r="1719" spans="18:31" ht="75" customHeight="1">
      <c r="R1719" s="1"/>
      <c r="S1719" s="1"/>
      <c r="AD1719" s="1"/>
      <c r="AE1719" s="1"/>
    </row>
    <row r="1720" spans="18:31" ht="75" customHeight="1">
      <c r="R1720" s="1"/>
      <c r="S1720" s="1"/>
      <c r="AD1720" s="1"/>
      <c r="AE1720" s="1"/>
    </row>
    <row r="1721" spans="18:31" ht="75" customHeight="1">
      <c r="R1721" s="1"/>
      <c r="S1721" s="1"/>
      <c r="AD1721" s="1"/>
      <c r="AE1721" s="1"/>
    </row>
    <row r="1722" spans="18:31" ht="75" customHeight="1">
      <c r="R1722" s="1"/>
      <c r="S1722" s="1"/>
      <c r="AD1722" s="1"/>
      <c r="AE1722" s="1"/>
    </row>
    <row r="1723" spans="18:31" ht="75" customHeight="1">
      <c r="R1723" s="1"/>
      <c r="S1723" s="1"/>
      <c r="AD1723" s="1"/>
      <c r="AE1723" s="1"/>
    </row>
    <row r="1724" spans="18:31" ht="75" customHeight="1">
      <c r="R1724" s="1"/>
      <c r="S1724" s="1"/>
      <c r="AD1724" s="1"/>
      <c r="AE1724" s="1"/>
    </row>
    <row r="1725" spans="18:31" ht="75" customHeight="1">
      <c r="R1725" s="1"/>
      <c r="S1725" s="1"/>
      <c r="AD1725" s="1"/>
      <c r="AE1725" s="1"/>
    </row>
    <row r="1726" spans="18:31" ht="75" customHeight="1">
      <c r="R1726" s="1"/>
      <c r="S1726" s="1"/>
      <c r="AD1726" s="1"/>
      <c r="AE1726" s="1"/>
    </row>
    <row r="1727" spans="18:31" ht="75" customHeight="1">
      <c r="R1727" s="1"/>
      <c r="S1727" s="1"/>
      <c r="AD1727" s="1"/>
      <c r="AE1727" s="1"/>
    </row>
    <row r="1728" spans="18:31" ht="75" customHeight="1">
      <c r="R1728" s="1"/>
      <c r="S1728" s="1"/>
      <c r="AD1728" s="1"/>
      <c r="AE1728" s="1"/>
    </row>
    <row r="1729" spans="18:31" ht="75" customHeight="1">
      <c r="R1729" s="1"/>
      <c r="S1729" s="1"/>
      <c r="AD1729" s="1"/>
      <c r="AE1729" s="1"/>
    </row>
    <row r="1730" spans="18:31" ht="75" customHeight="1">
      <c r="R1730" s="1"/>
      <c r="S1730" s="1"/>
      <c r="AD1730" s="1"/>
      <c r="AE1730" s="1"/>
    </row>
    <row r="1731" spans="18:31" ht="75" customHeight="1">
      <c r="R1731" s="1"/>
      <c r="S1731" s="1"/>
      <c r="AD1731" s="1"/>
      <c r="AE1731" s="1"/>
    </row>
    <row r="1732" spans="18:31" ht="75" customHeight="1">
      <c r="R1732" s="1"/>
      <c r="S1732" s="1"/>
      <c r="AD1732" s="1"/>
      <c r="AE1732" s="1"/>
    </row>
    <row r="1733" spans="18:31" ht="75" customHeight="1">
      <c r="R1733" s="1"/>
      <c r="S1733" s="1"/>
      <c r="AD1733" s="1"/>
      <c r="AE1733" s="1"/>
    </row>
    <row r="1734" spans="18:31" ht="75" customHeight="1">
      <c r="R1734" s="1"/>
      <c r="S1734" s="1"/>
      <c r="AD1734" s="1"/>
      <c r="AE1734" s="1"/>
    </row>
    <row r="1735" spans="18:31" ht="75" customHeight="1">
      <c r="R1735" s="1"/>
      <c r="S1735" s="1"/>
      <c r="AD1735" s="1"/>
      <c r="AE1735" s="1"/>
    </row>
    <row r="1736" spans="18:31" ht="75" customHeight="1">
      <c r="R1736" s="1"/>
      <c r="S1736" s="1"/>
      <c r="AD1736" s="1"/>
      <c r="AE1736" s="1"/>
    </row>
    <row r="1737" spans="18:31" ht="75" customHeight="1">
      <c r="R1737" s="1"/>
      <c r="S1737" s="1"/>
      <c r="AD1737" s="1"/>
      <c r="AE1737" s="1"/>
    </row>
    <row r="1738" spans="18:31" ht="75" customHeight="1">
      <c r="R1738" s="1"/>
      <c r="S1738" s="1"/>
      <c r="AD1738" s="1"/>
      <c r="AE1738" s="1"/>
    </row>
    <row r="1739" spans="18:31" ht="75" customHeight="1">
      <c r="R1739" s="1"/>
      <c r="S1739" s="1"/>
      <c r="AD1739" s="1"/>
      <c r="AE1739" s="1"/>
    </row>
    <row r="1740" spans="18:31" ht="75" customHeight="1">
      <c r="R1740" s="1"/>
      <c r="S1740" s="1"/>
      <c r="AD1740" s="1"/>
      <c r="AE1740" s="1"/>
    </row>
    <row r="1741" spans="18:31" ht="75" customHeight="1">
      <c r="R1741" s="1"/>
      <c r="S1741" s="1"/>
      <c r="AD1741" s="1"/>
      <c r="AE1741" s="1"/>
    </row>
    <row r="1742" spans="18:31" ht="75" customHeight="1">
      <c r="R1742" s="1"/>
      <c r="S1742" s="1"/>
      <c r="AD1742" s="1"/>
      <c r="AE1742" s="1"/>
    </row>
    <row r="1743" spans="18:31" ht="75" customHeight="1">
      <c r="R1743" s="1"/>
      <c r="S1743" s="1"/>
      <c r="AD1743" s="1"/>
      <c r="AE1743" s="1"/>
    </row>
    <row r="1744" spans="18:31" ht="75" customHeight="1">
      <c r="R1744" s="1"/>
      <c r="S1744" s="1"/>
      <c r="AD1744" s="1"/>
      <c r="AE1744" s="1"/>
    </row>
    <row r="1745" spans="18:31" ht="75" customHeight="1">
      <c r="R1745" s="1"/>
      <c r="S1745" s="1"/>
      <c r="AD1745" s="1"/>
      <c r="AE1745" s="1"/>
    </row>
    <row r="1746" spans="18:31" ht="75" customHeight="1">
      <c r="R1746" s="1"/>
      <c r="S1746" s="1"/>
      <c r="AD1746" s="1"/>
      <c r="AE1746" s="1"/>
    </row>
    <row r="1747" spans="18:31" ht="75" customHeight="1">
      <c r="R1747" s="1"/>
      <c r="S1747" s="1"/>
      <c r="AD1747" s="1"/>
      <c r="AE1747" s="1"/>
    </row>
    <row r="1748" spans="18:31" ht="75" customHeight="1">
      <c r="R1748" s="1"/>
      <c r="S1748" s="1"/>
      <c r="AD1748" s="1"/>
      <c r="AE1748" s="1"/>
    </row>
    <row r="1749" spans="18:31" ht="75" customHeight="1">
      <c r="R1749" s="1"/>
      <c r="S1749" s="1"/>
      <c r="AD1749" s="1"/>
      <c r="AE1749" s="1"/>
    </row>
    <row r="1750" spans="18:31" ht="75" customHeight="1">
      <c r="R1750" s="1"/>
      <c r="S1750" s="1"/>
      <c r="AD1750" s="1"/>
      <c r="AE1750" s="1"/>
    </row>
    <row r="1751" spans="18:31" ht="75" customHeight="1">
      <c r="R1751" s="1"/>
      <c r="S1751" s="1"/>
      <c r="AD1751" s="1"/>
      <c r="AE1751" s="1"/>
    </row>
    <row r="1752" spans="18:31" ht="75" customHeight="1">
      <c r="R1752" s="1"/>
      <c r="S1752" s="1"/>
      <c r="AD1752" s="1"/>
      <c r="AE1752" s="1"/>
    </row>
    <row r="1753" spans="18:31" ht="75" customHeight="1">
      <c r="R1753" s="1"/>
      <c r="S1753" s="1"/>
      <c r="AD1753" s="1"/>
      <c r="AE1753" s="1"/>
    </row>
    <row r="1754" spans="18:31" ht="75" customHeight="1">
      <c r="R1754" s="1"/>
      <c r="S1754" s="1"/>
      <c r="AD1754" s="1"/>
      <c r="AE1754" s="1"/>
    </row>
    <row r="1755" spans="18:31" ht="75" customHeight="1">
      <c r="R1755" s="1"/>
      <c r="S1755" s="1"/>
      <c r="AD1755" s="1"/>
      <c r="AE1755" s="1"/>
    </row>
    <row r="1756" spans="18:31" ht="75" customHeight="1">
      <c r="R1756" s="1"/>
      <c r="S1756" s="1"/>
      <c r="AD1756" s="1"/>
      <c r="AE1756" s="1"/>
    </row>
    <row r="1757" spans="18:31" ht="75" customHeight="1">
      <c r="R1757" s="1"/>
      <c r="S1757" s="1"/>
      <c r="AD1757" s="1"/>
      <c r="AE1757" s="1"/>
    </row>
    <row r="1758" spans="18:31" ht="75" customHeight="1">
      <c r="R1758" s="1"/>
      <c r="S1758" s="1"/>
      <c r="AD1758" s="1"/>
      <c r="AE1758" s="1"/>
    </row>
    <row r="1759" spans="18:31" ht="75" customHeight="1">
      <c r="R1759" s="1"/>
      <c r="S1759" s="1"/>
      <c r="AD1759" s="1"/>
      <c r="AE1759" s="1"/>
    </row>
    <row r="1760" spans="18:31" ht="75" customHeight="1">
      <c r="R1760" s="1"/>
      <c r="S1760" s="1"/>
      <c r="AD1760" s="1"/>
      <c r="AE1760" s="1"/>
    </row>
    <row r="1761" spans="18:31" ht="75" customHeight="1">
      <c r="R1761" s="1"/>
      <c r="S1761" s="1"/>
      <c r="AD1761" s="1"/>
      <c r="AE1761" s="1"/>
    </row>
    <row r="1762" spans="18:31" ht="75" customHeight="1">
      <c r="R1762" s="1"/>
      <c r="S1762" s="1"/>
      <c r="AD1762" s="1"/>
      <c r="AE1762" s="1"/>
    </row>
    <row r="1763" spans="18:31" ht="75" customHeight="1">
      <c r="R1763" s="1"/>
      <c r="S1763" s="1"/>
      <c r="AD1763" s="1"/>
      <c r="AE1763" s="1"/>
    </row>
    <row r="1764" spans="18:31" ht="75" customHeight="1">
      <c r="R1764" s="1"/>
      <c r="S1764" s="1"/>
      <c r="AD1764" s="1"/>
      <c r="AE1764" s="1"/>
    </row>
    <row r="1765" spans="18:31" ht="75" customHeight="1">
      <c r="R1765" s="1"/>
      <c r="S1765" s="1"/>
      <c r="AD1765" s="1"/>
      <c r="AE1765" s="1"/>
    </row>
    <row r="1766" spans="18:31" ht="75" customHeight="1">
      <c r="R1766" s="1"/>
      <c r="S1766" s="1"/>
      <c r="AD1766" s="1"/>
      <c r="AE1766" s="1"/>
    </row>
    <row r="1767" spans="18:31" ht="75" customHeight="1">
      <c r="R1767" s="1"/>
      <c r="S1767" s="1"/>
      <c r="AD1767" s="1"/>
      <c r="AE1767" s="1"/>
    </row>
    <row r="1768" spans="18:31" ht="75" customHeight="1">
      <c r="R1768" s="1"/>
      <c r="S1768" s="1"/>
      <c r="AD1768" s="1"/>
      <c r="AE1768" s="1"/>
    </row>
    <row r="1769" spans="18:31" ht="75" customHeight="1">
      <c r="R1769" s="1"/>
      <c r="S1769" s="1"/>
      <c r="AD1769" s="1"/>
      <c r="AE1769" s="1"/>
    </row>
    <row r="1770" spans="18:31" ht="75" customHeight="1">
      <c r="R1770" s="1"/>
      <c r="S1770" s="1"/>
      <c r="AD1770" s="1"/>
      <c r="AE1770" s="1"/>
    </row>
    <row r="1771" spans="18:31" ht="75" customHeight="1">
      <c r="R1771" s="1"/>
      <c r="S1771" s="1"/>
      <c r="AD1771" s="1"/>
      <c r="AE1771" s="1"/>
    </row>
    <row r="1772" spans="18:31" ht="75" customHeight="1">
      <c r="R1772" s="1"/>
      <c r="S1772" s="1"/>
      <c r="AD1772" s="1"/>
      <c r="AE1772" s="1"/>
    </row>
    <row r="1773" spans="18:31" ht="75" customHeight="1">
      <c r="R1773" s="1"/>
      <c r="S1773" s="1"/>
      <c r="AD1773" s="1"/>
      <c r="AE1773" s="1"/>
    </row>
    <row r="1774" spans="18:31" ht="75" customHeight="1">
      <c r="R1774" s="1"/>
      <c r="S1774" s="1"/>
      <c r="AD1774" s="1"/>
      <c r="AE1774" s="1"/>
    </row>
    <row r="1775" spans="18:31" ht="75" customHeight="1">
      <c r="R1775" s="1"/>
      <c r="S1775" s="1"/>
      <c r="AD1775" s="1"/>
      <c r="AE1775" s="1"/>
    </row>
    <row r="1776" spans="18:31" ht="75" customHeight="1">
      <c r="R1776" s="1"/>
      <c r="S1776" s="1"/>
      <c r="AD1776" s="1"/>
      <c r="AE1776" s="1"/>
    </row>
    <row r="1777" spans="18:31" ht="75" customHeight="1">
      <c r="R1777" s="1"/>
      <c r="S1777" s="1"/>
      <c r="AD1777" s="1"/>
      <c r="AE1777" s="1"/>
    </row>
    <row r="1778" spans="18:31" ht="75" customHeight="1">
      <c r="R1778" s="1"/>
      <c r="S1778" s="1"/>
      <c r="AD1778" s="1"/>
      <c r="AE1778" s="1"/>
    </row>
    <row r="1779" spans="18:31" ht="75" customHeight="1">
      <c r="R1779" s="1"/>
      <c r="S1779" s="1"/>
      <c r="AD1779" s="1"/>
      <c r="AE1779" s="1"/>
    </row>
    <row r="1780" spans="18:31" ht="75" customHeight="1">
      <c r="R1780" s="1"/>
      <c r="S1780" s="1"/>
      <c r="AD1780" s="1"/>
      <c r="AE1780" s="1"/>
    </row>
    <row r="1781" spans="18:31" ht="75" customHeight="1">
      <c r="R1781" s="1"/>
      <c r="S1781" s="1"/>
      <c r="AD1781" s="1"/>
      <c r="AE1781" s="1"/>
    </row>
    <row r="1782" spans="18:31" ht="75" customHeight="1">
      <c r="R1782" s="1"/>
      <c r="S1782" s="1"/>
      <c r="AD1782" s="1"/>
      <c r="AE1782" s="1"/>
    </row>
    <row r="1783" spans="18:31" ht="75" customHeight="1">
      <c r="R1783" s="1"/>
      <c r="S1783" s="1"/>
      <c r="AD1783" s="1"/>
      <c r="AE1783" s="1"/>
    </row>
    <row r="1784" spans="18:31" ht="75" customHeight="1">
      <c r="R1784" s="1"/>
      <c r="S1784" s="1"/>
      <c r="AD1784" s="1"/>
      <c r="AE1784" s="1"/>
    </row>
    <row r="1785" spans="18:31" ht="75" customHeight="1">
      <c r="R1785" s="1"/>
      <c r="S1785" s="1"/>
      <c r="AD1785" s="1"/>
      <c r="AE1785" s="1"/>
    </row>
    <row r="1786" spans="18:31" ht="75" customHeight="1">
      <c r="R1786" s="1"/>
      <c r="S1786" s="1"/>
      <c r="AD1786" s="1"/>
      <c r="AE1786" s="1"/>
    </row>
    <row r="1787" spans="18:31" ht="75" customHeight="1">
      <c r="R1787" s="1"/>
      <c r="S1787" s="1"/>
      <c r="AD1787" s="1"/>
      <c r="AE1787" s="1"/>
    </row>
    <row r="1788" spans="18:31" ht="75" customHeight="1">
      <c r="R1788" s="1"/>
      <c r="S1788" s="1"/>
      <c r="AD1788" s="1"/>
      <c r="AE1788" s="1"/>
    </row>
    <row r="1789" spans="18:31" ht="75" customHeight="1">
      <c r="R1789" s="1"/>
      <c r="S1789" s="1"/>
      <c r="AD1789" s="1"/>
      <c r="AE1789" s="1"/>
    </row>
    <row r="1790" spans="18:31" ht="75" customHeight="1">
      <c r="R1790" s="1"/>
      <c r="S1790" s="1"/>
      <c r="AD1790" s="1"/>
      <c r="AE1790" s="1"/>
    </row>
    <row r="1791" spans="18:31" ht="75" customHeight="1">
      <c r="R1791" s="1"/>
      <c r="S1791" s="1"/>
      <c r="AD1791" s="1"/>
      <c r="AE1791" s="1"/>
    </row>
    <row r="1792" spans="18:31" ht="75" customHeight="1">
      <c r="R1792" s="1"/>
      <c r="S1792" s="1"/>
      <c r="AD1792" s="1"/>
      <c r="AE1792" s="1"/>
    </row>
    <row r="1793" spans="18:31" ht="75" customHeight="1">
      <c r="R1793" s="1"/>
      <c r="S1793" s="1"/>
      <c r="AD1793" s="1"/>
      <c r="AE1793" s="1"/>
    </row>
    <row r="1794" spans="18:31" ht="75" customHeight="1">
      <c r="R1794" s="1"/>
      <c r="S1794" s="1"/>
      <c r="AD1794" s="1"/>
      <c r="AE1794" s="1"/>
    </row>
    <row r="1795" spans="18:31" ht="75" customHeight="1">
      <c r="R1795" s="1"/>
      <c r="S1795" s="1"/>
      <c r="AD1795" s="1"/>
      <c r="AE1795" s="1"/>
    </row>
    <row r="1796" spans="18:31" ht="75" customHeight="1">
      <c r="R1796" s="1"/>
      <c r="S1796" s="1"/>
      <c r="AD1796" s="1"/>
      <c r="AE1796" s="1"/>
    </row>
    <row r="1797" spans="18:31" ht="75" customHeight="1">
      <c r="R1797" s="1"/>
      <c r="S1797" s="1"/>
      <c r="AD1797" s="1"/>
      <c r="AE1797" s="1"/>
    </row>
    <row r="1798" spans="18:31" ht="75" customHeight="1">
      <c r="R1798" s="1"/>
      <c r="S1798" s="1"/>
      <c r="AD1798" s="1"/>
      <c r="AE1798" s="1"/>
    </row>
    <row r="1799" spans="18:31" ht="75" customHeight="1">
      <c r="R1799" s="1"/>
      <c r="S1799" s="1"/>
      <c r="AD1799" s="1"/>
      <c r="AE1799" s="1"/>
    </row>
    <row r="1800" spans="18:31" ht="75" customHeight="1">
      <c r="R1800" s="1"/>
      <c r="S1800" s="1"/>
      <c r="AD1800" s="1"/>
      <c r="AE1800" s="1"/>
    </row>
    <row r="1801" spans="18:31" ht="75" customHeight="1">
      <c r="R1801" s="1"/>
      <c r="S1801" s="1"/>
      <c r="AD1801" s="1"/>
      <c r="AE1801" s="1"/>
    </row>
    <row r="1802" spans="18:31" ht="75" customHeight="1">
      <c r="R1802" s="1"/>
      <c r="S1802" s="1"/>
      <c r="AD1802" s="1"/>
      <c r="AE1802" s="1"/>
    </row>
    <row r="1803" spans="18:31" ht="75" customHeight="1">
      <c r="R1803" s="1"/>
      <c r="S1803" s="1"/>
      <c r="AD1803" s="1"/>
      <c r="AE1803" s="1"/>
    </row>
    <row r="1804" spans="18:31" ht="75" customHeight="1">
      <c r="R1804" s="1"/>
      <c r="S1804" s="1"/>
      <c r="AD1804" s="1"/>
      <c r="AE1804" s="1"/>
    </row>
    <row r="1805" spans="18:31" ht="75" customHeight="1">
      <c r="R1805" s="1"/>
      <c r="S1805" s="1"/>
      <c r="AD1805" s="1"/>
      <c r="AE1805" s="1"/>
    </row>
    <row r="1806" spans="18:31" ht="75" customHeight="1">
      <c r="R1806" s="1"/>
      <c r="S1806" s="1"/>
      <c r="AD1806" s="1"/>
      <c r="AE1806" s="1"/>
    </row>
    <row r="1807" spans="18:31" ht="75" customHeight="1">
      <c r="R1807" s="1"/>
      <c r="S1807" s="1"/>
      <c r="AD1807" s="1"/>
      <c r="AE1807" s="1"/>
    </row>
    <row r="1808" spans="18:31" ht="75" customHeight="1">
      <c r="R1808" s="1"/>
      <c r="S1808" s="1"/>
      <c r="AD1808" s="1"/>
      <c r="AE1808" s="1"/>
    </row>
    <row r="1809" spans="18:31" ht="75" customHeight="1">
      <c r="R1809" s="1"/>
      <c r="S1809" s="1"/>
      <c r="AD1809" s="1"/>
      <c r="AE1809" s="1"/>
    </row>
    <row r="1810" spans="18:31" ht="75" customHeight="1">
      <c r="R1810" s="1"/>
      <c r="S1810" s="1"/>
      <c r="AD1810" s="1"/>
      <c r="AE1810" s="1"/>
    </row>
    <row r="1811" spans="18:31" ht="75" customHeight="1">
      <c r="R1811" s="1"/>
      <c r="S1811" s="1"/>
      <c r="AD1811" s="1"/>
      <c r="AE1811" s="1"/>
    </row>
    <row r="1812" spans="18:31" ht="75" customHeight="1">
      <c r="R1812" s="1"/>
      <c r="S1812" s="1"/>
      <c r="AD1812" s="1"/>
      <c r="AE1812" s="1"/>
    </row>
    <row r="1813" spans="18:31" ht="75" customHeight="1">
      <c r="R1813" s="1"/>
      <c r="S1813" s="1"/>
      <c r="AD1813" s="1"/>
      <c r="AE1813" s="1"/>
    </row>
    <row r="1814" spans="18:31" ht="75" customHeight="1">
      <c r="R1814" s="1"/>
      <c r="S1814" s="1"/>
      <c r="AD1814" s="1"/>
      <c r="AE1814" s="1"/>
    </row>
    <row r="1815" spans="18:31" ht="75" customHeight="1">
      <c r="R1815" s="1"/>
      <c r="S1815" s="1"/>
      <c r="AD1815" s="1"/>
      <c r="AE1815" s="1"/>
    </row>
    <row r="1816" spans="18:31" ht="75" customHeight="1">
      <c r="R1816" s="1"/>
      <c r="S1816" s="1"/>
      <c r="AD1816" s="1"/>
      <c r="AE1816" s="1"/>
    </row>
    <row r="1817" spans="18:31" ht="75" customHeight="1">
      <c r="R1817" s="1"/>
      <c r="S1817" s="1"/>
      <c r="AD1817" s="1"/>
      <c r="AE1817" s="1"/>
    </row>
    <row r="1818" spans="18:31" ht="75" customHeight="1">
      <c r="R1818" s="1"/>
      <c r="S1818" s="1"/>
      <c r="AD1818" s="1"/>
      <c r="AE1818" s="1"/>
    </row>
    <row r="1819" spans="18:31" ht="75" customHeight="1">
      <c r="R1819" s="1"/>
      <c r="S1819" s="1"/>
      <c r="AD1819" s="1"/>
      <c r="AE1819" s="1"/>
    </row>
    <row r="1820" spans="18:31" ht="75" customHeight="1">
      <c r="R1820" s="1"/>
      <c r="S1820" s="1"/>
      <c r="AD1820" s="1"/>
      <c r="AE1820" s="1"/>
    </row>
    <row r="1821" spans="18:31" ht="75" customHeight="1">
      <c r="R1821" s="1"/>
      <c r="S1821" s="1"/>
      <c r="AD1821" s="1"/>
      <c r="AE1821" s="1"/>
    </row>
    <row r="1822" spans="18:31" ht="75" customHeight="1">
      <c r="R1822" s="1"/>
      <c r="S1822" s="1"/>
      <c r="AD1822" s="1"/>
      <c r="AE1822" s="1"/>
    </row>
    <row r="1823" spans="18:31" ht="75" customHeight="1">
      <c r="R1823" s="1"/>
      <c r="S1823" s="1"/>
      <c r="AD1823" s="1"/>
      <c r="AE1823" s="1"/>
    </row>
    <row r="1824" spans="18:31" ht="75" customHeight="1">
      <c r="R1824" s="1"/>
      <c r="S1824" s="1"/>
      <c r="AD1824" s="1"/>
      <c r="AE1824" s="1"/>
    </row>
    <row r="1825" spans="18:31" ht="75" customHeight="1">
      <c r="R1825" s="1"/>
      <c r="S1825" s="1"/>
      <c r="AD1825" s="1"/>
      <c r="AE1825" s="1"/>
    </row>
    <row r="1826" spans="18:31" ht="75" customHeight="1">
      <c r="R1826" s="1"/>
      <c r="S1826" s="1"/>
      <c r="AD1826" s="1"/>
      <c r="AE1826" s="1"/>
    </row>
    <row r="1827" spans="18:31" ht="75" customHeight="1">
      <c r="R1827" s="1"/>
      <c r="S1827" s="1"/>
      <c r="AD1827" s="1"/>
      <c r="AE1827" s="1"/>
    </row>
    <row r="1828" spans="18:31" ht="75" customHeight="1">
      <c r="R1828" s="1"/>
      <c r="S1828" s="1"/>
      <c r="AD1828" s="1"/>
      <c r="AE1828" s="1"/>
    </row>
    <row r="1829" spans="18:31" ht="75" customHeight="1">
      <c r="R1829" s="1"/>
      <c r="S1829" s="1"/>
      <c r="AD1829" s="1"/>
      <c r="AE1829" s="1"/>
    </row>
    <row r="1830" spans="18:31" ht="75" customHeight="1">
      <c r="R1830" s="1"/>
      <c r="S1830" s="1"/>
      <c r="AD1830" s="1"/>
      <c r="AE1830" s="1"/>
    </row>
    <row r="1831" spans="18:31" ht="75" customHeight="1">
      <c r="R1831" s="1"/>
      <c r="S1831" s="1"/>
      <c r="AD1831" s="1"/>
      <c r="AE1831" s="1"/>
    </row>
    <row r="1832" spans="18:31" ht="75" customHeight="1">
      <c r="R1832" s="1"/>
      <c r="S1832" s="1"/>
      <c r="AD1832" s="1"/>
      <c r="AE1832" s="1"/>
    </row>
    <row r="1833" spans="18:31" ht="75" customHeight="1">
      <c r="R1833" s="1"/>
      <c r="S1833" s="1"/>
      <c r="AD1833" s="1"/>
      <c r="AE1833" s="1"/>
    </row>
    <row r="1834" spans="18:31" ht="75" customHeight="1">
      <c r="R1834" s="1"/>
      <c r="S1834" s="1"/>
      <c r="AD1834" s="1"/>
      <c r="AE1834" s="1"/>
    </row>
    <row r="1835" spans="18:31" ht="75" customHeight="1">
      <c r="R1835" s="1"/>
      <c r="S1835" s="1"/>
      <c r="AD1835" s="1"/>
      <c r="AE1835" s="1"/>
    </row>
    <row r="1836" spans="18:31" ht="75" customHeight="1">
      <c r="R1836" s="1"/>
      <c r="S1836" s="1"/>
      <c r="AD1836" s="1"/>
      <c r="AE1836" s="1"/>
    </row>
    <row r="1837" spans="18:31" ht="75" customHeight="1">
      <c r="R1837" s="1"/>
      <c r="S1837" s="1"/>
      <c r="AD1837" s="1"/>
      <c r="AE1837" s="1"/>
    </row>
    <row r="1838" spans="18:31" ht="75" customHeight="1">
      <c r="R1838" s="1"/>
      <c r="S1838" s="1"/>
      <c r="AD1838" s="1"/>
      <c r="AE1838" s="1"/>
    </row>
    <row r="1839" spans="18:31" ht="75" customHeight="1">
      <c r="R1839" s="1"/>
      <c r="S1839" s="1"/>
      <c r="AD1839" s="1"/>
      <c r="AE1839" s="1"/>
    </row>
    <row r="1840" spans="18:31" ht="75" customHeight="1">
      <c r="R1840" s="1"/>
      <c r="S1840" s="1"/>
      <c r="AD1840" s="1"/>
      <c r="AE1840" s="1"/>
    </row>
    <row r="1841" spans="18:31" ht="75" customHeight="1">
      <c r="R1841" s="1"/>
      <c r="S1841" s="1"/>
      <c r="AD1841" s="1"/>
      <c r="AE1841" s="1"/>
    </row>
    <row r="1842" spans="18:31" ht="75" customHeight="1">
      <c r="R1842" s="1"/>
      <c r="S1842" s="1"/>
      <c r="AD1842" s="1"/>
      <c r="AE1842" s="1"/>
    </row>
    <row r="1843" spans="18:31" ht="75" customHeight="1">
      <c r="R1843" s="1"/>
      <c r="S1843" s="1"/>
      <c r="AD1843" s="1"/>
      <c r="AE1843" s="1"/>
    </row>
    <row r="1844" spans="18:31" ht="75" customHeight="1">
      <c r="R1844" s="1"/>
      <c r="S1844" s="1"/>
      <c r="AD1844" s="1"/>
      <c r="AE1844" s="1"/>
    </row>
    <row r="1845" spans="18:31" ht="75" customHeight="1">
      <c r="R1845" s="1"/>
      <c r="S1845" s="1"/>
      <c r="AD1845" s="1"/>
      <c r="AE1845" s="1"/>
    </row>
    <row r="1846" spans="18:31" ht="75" customHeight="1">
      <c r="R1846" s="1"/>
      <c r="S1846" s="1"/>
      <c r="AD1846" s="1"/>
      <c r="AE1846" s="1"/>
    </row>
    <row r="1847" spans="18:31" ht="75" customHeight="1">
      <c r="R1847" s="1"/>
      <c r="S1847" s="1"/>
      <c r="AD1847" s="1"/>
      <c r="AE1847" s="1"/>
    </row>
    <row r="1848" spans="18:31" ht="75" customHeight="1">
      <c r="R1848" s="1"/>
      <c r="S1848" s="1"/>
      <c r="AD1848" s="1"/>
      <c r="AE1848" s="1"/>
    </row>
    <row r="1849" spans="18:31" ht="75" customHeight="1">
      <c r="R1849" s="1"/>
      <c r="S1849" s="1"/>
      <c r="AD1849" s="1"/>
      <c r="AE1849" s="1"/>
    </row>
    <row r="1850" spans="18:31" ht="75" customHeight="1">
      <c r="R1850" s="1"/>
      <c r="S1850" s="1"/>
      <c r="AD1850" s="1"/>
      <c r="AE1850" s="1"/>
    </row>
    <row r="1851" spans="18:31" ht="75" customHeight="1">
      <c r="R1851" s="1"/>
      <c r="S1851" s="1"/>
      <c r="AD1851" s="1"/>
      <c r="AE1851" s="1"/>
    </row>
    <row r="1852" spans="18:31" ht="75" customHeight="1">
      <c r="R1852" s="1"/>
      <c r="S1852" s="1"/>
      <c r="AD1852" s="1"/>
      <c r="AE1852" s="1"/>
    </row>
    <row r="1853" spans="18:31" ht="75" customHeight="1">
      <c r="R1853" s="1"/>
      <c r="S1853" s="1"/>
      <c r="AD1853" s="1"/>
      <c r="AE1853" s="1"/>
    </row>
    <row r="1854" spans="18:31" ht="75" customHeight="1">
      <c r="R1854" s="1"/>
      <c r="S1854" s="1"/>
      <c r="AD1854" s="1"/>
      <c r="AE1854" s="1"/>
    </row>
    <row r="1855" spans="18:31" ht="75" customHeight="1">
      <c r="R1855" s="1"/>
      <c r="S1855" s="1"/>
      <c r="AD1855" s="1"/>
      <c r="AE1855" s="1"/>
    </row>
    <row r="1856" spans="18:31" ht="75" customHeight="1">
      <c r="R1856" s="1"/>
      <c r="S1856" s="1"/>
      <c r="AD1856" s="1"/>
      <c r="AE1856" s="1"/>
    </row>
    <row r="1857" spans="18:31" ht="75" customHeight="1">
      <c r="R1857" s="1"/>
      <c r="S1857" s="1"/>
      <c r="AD1857" s="1"/>
      <c r="AE1857" s="1"/>
    </row>
    <row r="1858" spans="18:31" ht="75" customHeight="1">
      <c r="R1858" s="1"/>
      <c r="S1858" s="1"/>
      <c r="AD1858" s="1"/>
      <c r="AE1858" s="1"/>
    </row>
    <row r="1859" spans="18:31" ht="75" customHeight="1">
      <c r="R1859" s="1"/>
      <c r="S1859" s="1"/>
      <c r="AD1859" s="1"/>
      <c r="AE1859" s="1"/>
    </row>
    <row r="1860" spans="18:31" ht="75" customHeight="1">
      <c r="R1860" s="1"/>
      <c r="S1860" s="1"/>
      <c r="AD1860" s="1"/>
      <c r="AE1860" s="1"/>
    </row>
    <row r="1861" spans="18:31" ht="75" customHeight="1">
      <c r="R1861" s="1"/>
      <c r="S1861" s="1"/>
      <c r="AD1861" s="1"/>
      <c r="AE1861" s="1"/>
    </row>
    <row r="1862" spans="18:31" ht="75" customHeight="1">
      <c r="R1862" s="1"/>
      <c r="S1862" s="1"/>
      <c r="AD1862" s="1"/>
      <c r="AE1862" s="1"/>
    </row>
    <row r="1863" spans="18:31" ht="75" customHeight="1">
      <c r="R1863" s="1"/>
      <c r="S1863" s="1"/>
      <c r="AD1863" s="1"/>
      <c r="AE1863" s="1"/>
    </row>
    <row r="1864" spans="18:31" ht="75" customHeight="1">
      <c r="R1864" s="1"/>
      <c r="S1864" s="1"/>
      <c r="AD1864" s="1"/>
      <c r="AE1864" s="1"/>
    </row>
    <row r="1865" spans="18:31" ht="75" customHeight="1">
      <c r="R1865" s="1"/>
      <c r="S1865" s="1"/>
      <c r="AD1865" s="1"/>
      <c r="AE1865" s="1"/>
    </row>
    <row r="1866" spans="18:31" ht="75" customHeight="1">
      <c r="R1866" s="1"/>
      <c r="S1866" s="1"/>
      <c r="AD1866" s="1"/>
      <c r="AE1866" s="1"/>
    </row>
    <row r="1867" spans="18:31" ht="75" customHeight="1">
      <c r="R1867" s="1"/>
      <c r="S1867" s="1"/>
      <c r="AD1867" s="1"/>
      <c r="AE1867" s="1"/>
    </row>
    <row r="1868" spans="18:31" ht="75" customHeight="1">
      <c r="R1868" s="1"/>
      <c r="S1868" s="1"/>
      <c r="AD1868" s="1"/>
      <c r="AE1868" s="1"/>
    </row>
    <row r="1869" spans="18:31" ht="75" customHeight="1">
      <c r="R1869" s="1"/>
      <c r="S1869" s="1"/>
      <c r="AD1869" s="1"/>
      <c r="AE1869" s="1"/>
    </row>
    <row r="1870" spans="18:31" ht="75" customHeight="1">
      <c r="R1870" s="1"/>
      <c r="S1870" s="1"/>
      <c r="AD1870" s="1"/>
      <c r="AE1870" s="1"/>
    </row>
    <row r="1871" spans="18:31" ht="75" customHeight="1">
      <c r="R1871" s="1"/>
      <c r="S1871" s="1"/>
      <c r="AD1871" s="1"/>
      <c r="AE1871" s="1"/>
    </row>
    <row r="1872" spans="18:31" ht="75" customHeight="1">
      <c r="R1872" s="1"/>
      <c r="S1872" s="1"/>
      <c r="AD1872" s="1"/>
      <c r="AE1872" s="1"/>
    </row>
    <row r="1873" spans="18:31" ht="75" customHeight="1">
      <c r="R1873" s="1"/>
      <c r="S1873" s="1"/>
      <c r="AD1873" s="1"/>
      <c r="AE1873" s="1"/>
    </row>
    <row r="1874" spans="18:31" ht="75" customHeight="1">
      <c r="R1874" s="1"/>
      <c r="S1874" s="1"/>
      <c r="AD1874" s="1"/>
      <c r="AE1874" s="1"/>
    </row>
    <row r="1875" spans="18:31" ht="75" customHeight="1">
      <c r="R1875" s="1"/>
      <c r="S1875" s="1"/>
      <c r="AD1875" s="1"/>
      <c r="AE1875" s="1"/>
    </row>
    <row r="1876" spans="18:31" ht="75" customHeight="1">
      <c r="R1876" s="1"/>
      <c r="S1876" s="1"/>
      <c r="AD1876" s="1"/>
      <c r="AE1876" s="1"/>
    </row>
    <row r="1877" spans="18:31" ht="75" customHeight="1">
      <c r="R1877" s="1"/>
      <c r="S1877" s="1"/>
      <c r="AD1877" s="1"/>
      <c r="AE1877" s="1"/>
    </row>
    <row r="1878" spans="18:31" ht="75" customHeight="1">
      <c r="R1878" s="1"/>
      <c r="S1878" s="1"/>
      <c r="AD1878" s="1"/>
      <c r="AE1878" s="1"/>
    </row>
    <row r="1879" spans="18:31" ht="75" customHeight="1">
      <c r="R1879" s="1"/>
      <c r="S1879" s="1"/>
      <c r="AD1879" s="1"/>
      <c r="AE1879" s="1"/>
    </row>
    <row r="1880" spans="18:31" ht="75" customHeight="1">
      <c r="R1880" s="1"/>
      <c r="S1880" s="1"/>
      <c r="AD1880" s="1"/>
      <c r="AE1880" s="1"/>
    </row>
    <row r="1881" spans="18:31" ht="75" customHeight="1">
      <c r="R1881" s="1"/>
      <c r="S1881" s="1"/>
      <c r="AD1881" s="1"/>
      <c r="AE1881" s="1"/>
    </row>
    <row r="1882" spans="18:31" ht="75" customHeight="1">
      <c r="R1882" s="1"/>
      <c r="S1882" s="1"/>
      <c r="AD1882" s="1"/>
      <c r="AE1882" s="1"/>
    </row>
    <row r="1883" spans="18:31" ht="75" customHeight="1">
      <c r="R1883" s="1"/>
      <c r="S1883" s="1"/>
      <c r="AD1883" s="1"/>
      <c r="AE1883" s="1"/>
    </row>
    <row r="1884" spans="18:31" ht="75" customHeight="1">
      <c r="R1884" s="1"/>
      <c r="S1884" s="1"/>
      <c r="AD1884" s="1"/>
      <c r="AE1884" s="1"/>
    </row>
    <row r="1885" spans="18:31" ht="75" customHeight="1">
      <c r="R1885" s="1"/>
      <c r="S1885" s="1"/>
      <c r="AD1885" s="1"/>
      <c r="AE1885" s="1"/>
    </row>
    <row r="1886" spans="18:31" ht="75" customHeight="1">
      <c r="R1886" s="1"/>
      <c r="S1886" s="1"/>
      <c r="AD1886" s="1"/>
      <c r="AE1886" s="1"/>
    </row>
    <row r="1887" spans="18:31" ht="75" customHeight="1">
      <c r="R1887" s="1"/>
      <c r="S1887" s="1"/>
      <c r="AD1887" s="1"/>
      <c r="AE1887" s="1"/>
    </row>
    <row r="1888" spans="18:31" ht="75" customHeight="1">
      <c r="R1888" s="1"/>
      <c r="S1888" s="1"/>
      <c r="AD1888" s="1"/>
      <c r="AE1888" s="1"/>
    </row>
    <row r="1889" spans="18:31" ht="75" customHeight="1">
      <c r="R1889" s="1"/>
      <c r="S1889" s="1"/>
      <c r="AD1889" s="1"/>
      <c r="AE1889" s="1"/>
    </row>
    <row r="1890" spans="18:31" ht="75" customHeight="1">
      <c r="R1890" s="1"/>
      <c r="S1890" s="1"/>
      <c r="AD1890" s="1"/>
      <c r="AE1890" s="1"/>
    </row>
    <row r="1891" spans="18:31" ht="75" customHeight="1">
      <c r="R1891" s="1"/>
      <c r="S1891" s="1"/>
      <c r="AD1891" s="1"/>
      <c r="AE1891" s="1"/>
    </row>
    <row r="1892" spans="18:31" ht="75" customHeight="1">
      <c r="R1892" s="1"/>
      <c r="S1892" s="1"/>
      <c r="AD1892" s="1"/>
      <c r="AE1892" s="1"/>
    </row>
    <row r="1893" spans="18:31" ht="75" customHeight="1">
      <c r="R1893" s="1"/>
      <c r="S1893" s="1"/>
      <c r="AD1893" s="1"/>
      <c r="AE1893" s="1"/>
    </row>
    <row r="1894" spans="18:31" ht="75" customHeight="1">
      <c r="R1894" s="1"/>
      <c r="S1894" s="1"/>
      <c r="AD1894" s="1"/>
      <c r="AE1894" s="1"/>
    </row>
    <row r="1895" spans="18:31" ht="75" customHeight="1">
      <c r="R1895" s="1"/>
      <c r="S1895" s="1"/>
      <c r="AD1895" s="1"/>
      <c r="AE1895" s="1"/>
    </row>
    <row r="1896" spans="18:31" ht="75" customHeight="1">
      <c r="R1896" s="1"/>
      <c r="S1896" s="1"/>
      <c r="AD1896" s="1"/>
      <c r="AE1896" s="1"/>
    </row>
    <row r="1897" spans="18:31" ht="75" customHeight="1">
      <c r="R1897" s="1"/>
      <c r="S1897" s="1"/>
      <c r="AD1897" s="1"/>
      <c r="AE1897" s="1"/>
    </row>
    <row r="1898" spans="18:31" ht="75" customHeight="1">
      <c r="R1898" s="1"/>
      <c r="S1898" s="1"/>
      <c r="AD1898" s="1"/>
      <c r="AE1898" s="1"/>
    </row>
    <row r="1899" spans="18:31" ht="75" customHeight="1">
      <c r="R1899" s="1"/>
      <c r="S1899" s="1"/>
      <c r="AD1899" s="1"/>
      <c r="AE1899" s="1"/>
    </row>
    <row r="1900" spans="18:31" ht="75" customHeight="1">
      <c r="R1900" s="1"/>
      <c r="S1900" s="1"/>
      <c r="AD1900" s="1"/>
      <c r="AE1900" s="1"/>
    </row>
    <row r="1901" spans="18:31" ht="75" customHeight="1">
      <c r="R1901" s="1"/>
      <c r="S1901" s="1"/>
      <c r="AD1901" s="1"/>
      <c r="AE1901" s="1"/>
    </row>
    <row r="1902" spans="18:31" ht="75" customHeight="1">
      <c r="R1902" s="1"/>
      <c r="S1902" s="1"/>
      <c r="AD1902" s="1"/>
      <c r="AE1902" s="1"/>
    </row>
    <row r="1903" spans="18:31" ht="75" customHeight="1">
      <c r="R1903" s="1"/>
      <c r="S1903" s="1"/>
      <c r="AD1903" s="1"/>
      <c r="AE1903" s="1"/>
    </row>
    <row r="1904" spans="18:31" ht="75" customHeight="1">
      <c r="R1904" s="1"/>
      <c r="S1904" s="1"/>
      <c r="AD1904" s="1"/>
      <c r="AE1904" s="1"/>
    </row>
    <row r="1905" spans="18:31" ht="75" customHeight="1">
      <c r="R1905" s="1"/>
      <c r="S1905" s="1"/>
      <c r="AD1905" s="1"/>
      <c r="AE1905" s="1"/>
    </row>
    <row r="1906" spans="18:31" ht="75" customHeight="1">
      <c r="R1906" s="1"/>
      <c r="S1906" s="1"/>
      <c r="AD1906" s="1"/>
      <c r="AE1906" s="1"/>
    </row>
    <row r="1907" spans="18:31" ht="75" customHeight="1">
      <c r="R1907" s="1"/>
      <c r="S1907" s="1"/>
      <c r="AD1907" s="1"/>
      <c r="AE1907" s="1"/>
    </row>
    <row r="1908" spans="18:31" ht="75" customHeight="1">
      <c r="R1908" s="1"/>
      <c r="S1908" s="1"/>
      <c r="AD1908" s="1"/>
      <c r="AE1908" s="1"/>
    </row>
    <row r="1909" spans="18:31" ht="75" customHeight="1">
      <c r="R1909" s="1"/>
      <c r="S1909" s="1"/>
      <c r="AD1909" s="1"/>
      <c r="AE1909" s="1"/>
    </row>
    <row r="1910" spans="18:31" ht="75" customHeight="1">
      <c r="R1910" s="1"/>
      <c r="S1910" s="1"/>
      <c r="AD1910" s="1"/>
      <c r="AE1910" s="1"/>
    </row>
    <row r="1911" spans="18:31" ht="75" customHeight="1">
      <c r="R1911" s="1"/>
      <c r="S1911" s="1"/>
      <c r="AD1911" s="1"/>
      <c r="AE1911" s="1"/>
    </row>
    <row r="1912" spans="18:31" ht="75" customHeight="1">
      <c r="R1912" s="1"/>
      <c r="S1912" s="1"/>
      <c r="AD1912" s="1"/>
      <c r="AE1912" s="1"/>
    </row>
    <row r="1913" spans="18:31" ht="75" customHeight="1">
      <c r="R1913" s="1"/>
      <c r="S1913" s="1"/>
      <c r="AD1913" s="1"/>
      <c r="AE1913" s="1"/>
    </row>
    <row r="1914" spans="18:31" ht="75" customHeight="1">
      <c r="R1914" s="1"/>
      <c r="S1914" s="1"/>
      <c r="AD1914" s="1"/>
      <c r="AE1914" s="1"/>
    </row>
    <row r="1915" spans="18:31" ht="75" customHeight="1">
      <c r="R1915" s="1"/>
      <c r="S1915" s="1"/>
      <c r="AD1915" s="1"/>
      <c r="AE1915" s="1"/>
    </row>
    <row r="1916" spans="18:31" ht="75" customHeight="1">
      <c r="R1916" s="1"/>
      <c r="S1916" s="1"/>
      <c r="AD1916" s="1"/>
      <c r="AE1916" s="1"/>
    </row>
    <row r="1917" spans="18:31" ht="75" customHeight="1">
      <c r="R1917" s="1"/>
      <c r="S1917" s="1"/>
      <c r="AD1917" s="1"/>
      <c r="AE1917" s="1"/>
    </row>
    <row r="1918" spans="18:31" ht="75" customHeight="1">
      <c r="R1918" s="1"/>
      <c r="S1918" s="1"/>
      <c r="AD1918" s="1"/>
      <c r="AE1918" s="1"/>
    </row>
    <row r="1919" spans="18:31" ht="75" customHeight="1">
      <c r="R1919" s="1"/>
      <c r="S1919" s="1"/>
      <c r="AD1919" s="1"/>
      <c r="AE1919" s="1"/>
    </row>
    <row r="1920" spans="18:31" ht="75" customHeight="1">
      <c r="R1920" s="1"/>
      <c r="S1920" s="1"/>
      <c r="AD1920" s="1"/>
      <c r="AE1920" s="1"/>
    </row>
    <row r="1921" spans="18:31" ht="75" customHeight="1">
      <c r="R1921" s="1"/>
      <c r="S1921" s="1"/>
      <c r="AD1921" s="1"/>
      <c r="AE1921" s="1"/>
    </row>
    <row r="1922" spans="18:31" ht="75" customHeight="1">
      <c r="R1922" s="1"/>
      <c r="S1922" s="1"/>
      <c r="AD1922" s="1"/>
      <c r="AE1922" s="1"/>
    </row>
    <row r="1923" spans="18:31" ht="75" customHeight="1">
      <c r="R1923" s="1"/>
      <c r="S1923" s="1"/>
      <c r="AD1923" s="1"/>
      <c r="AE1923" s="1"/>
    </row>
    <row r="1924" spans="18:31" ht="75" customHeight="1">
      <c r="R1924" s="1"/>
      <c r="S1924" s="1"/>
      <c r="AD1924" s="1"/>
      <c r="AE1924" s="1"/>
    </row>
    <row r="1925" spans="18:31" ht="75" customHeight="1">
      <c r="R1925" s="1"/>
      <c r="S1925" s="1"/>
      <c r="AD1925" s="1"/>
      <c r="AE1925" s="1"/>
    </row>
    <row r="1926" spans="18:31" ht="75" customHeight="1">
      <c r="R1926" s="1"/>
      <c r="S1926" s="1"/>
      <c r="AD1926" s="1"/>
      <c r="AE1926" s="1"/>
    </row>
    <row r="1927" spans="18:31" ht="75" customHeight="1">
      <c r="R1927" s="1"/>
      <c r="S1927" s="1"/>
      <c r="AD1927" s="1"/>
      <c r="AE1927" s="1"/>
    </row>
    <row r="1928" spans="18:31" ht="75" customHeight="1">
      <c r="R1928" s="1"/>
      <c r="S1928" s="1"/>
      <c r="AD1928" s="1"/>
      <c r="AE1928" s="1"/>
    </row>
    <row r="1929" spans="18:31" ht="75" customHeight="1">
      <c r="R1929" s="1"/>
      <c r="S1929" s="1"/>
      <c r="AD1929" s="1"/>
      <c r="AE1929" s="1"/>
    </row>
    <row r="1930" spans="18:31" ht="75" customHeight="1">
      <c r="R1930" s="1"/>
      <c r="S1930" s="1"/>
      <c r="AD1930" s="1"/>
      <c r="AE1930" s="1"/>
    </row>
    <row r="1931" spans="18:31" ht="75" customHeight="1">
      <c r="R1931" s="1"/>
      <c r="S1931" s="1"/>
      <c r="AD1931" s="1"/>
      <c r="AE1931" s="1"/>
    </row>
    <row r="1932" spans="18:31" ht="75" customHeight="1">
      <c r="R1932" s="1"/>
      <c r="S1932" s="1"/>
      <c r="AD1932" s="1"/>
      <c r="AE1932" s="1"/>
    </row>
    <row r="1933" spans="18:31" ht="75" customHeight="1">
      <c r="R1933" s="1"/>
      <c r="S1933" s="1"/>
      <c r="AD1933" s="1"/>
      <c r="AE1933" s="1"/>
    </row>
    <row r="1934" spans="18:31" ht="75" customHeight="1">
      <c r="R1934" s="1"/>
      <c r="S1934" s="1"/>
      <c r="AD1934" s="1"/>
      <c r="AE1934" s="1"/>
    </row>
    <row r="1935" spans="18:31" ht="75" customHeight="1">
      <c r="R1935" s="1"/>
      <c r="S1935" s="1"/>
      <c r="AD1935" s="1"/>
      <c r="AE1935" s="1"/>
    </row>
    <row r="1936" spans="18:31" ht="75" customHeight="1">
      <c r="R1936" s="1"/>
      <c r="S1936" s="1"/>
      <c r="AD1936" s="1"/>
      <c r="AE1936" s="1"/>
    </row>
    <row r="1937" spans="18:31" ht="75" customHeight="1">
      <c r="R1937" s="1"/>
      <c r="S1937" s="1"/>
      <c r="AD1937" s="1"/>
      <c r="AE1937" s="1"/>
    </row>
    <row r="1938" spans="18:31" ht="75" customHeight="1">
      <c r="R1938" s="1"/>
      <c r="S1938" s="1"/>
      <c r="AD1938" s="1"/>
      <c r="AE1938" s="1"/>
    </row>
    <row r="1939" spans="18:31" ht="75" customHeight="1">
      <c r="R1939" s="1"/>
      <c r="S1939" s="1"/>
      <c r="AD1939" s="1"/>
      <c r="AE1939" s="1"/>
    </row>
    <row r="1940" spans="18:31" ht="75" customHeight="1">
      <c r="R1940" s="1"/>
      <c r="S1940" s="1"/>
      <c r="AD1940" s="1"/>
      <c r="AE1940" s="1"/>
    </row>
    <row r="1941" spans="18:31" ht="75" customHeight="1">
      <c r="R1941" s="1"/>
      <c r="S1941" s="1"/>
      <c r="AD1941" s="1"/>
      <c r="AE1941" s="1"/>
    </row>
    <row r="1942" spans="18:31" ht="75" customHeight="1">
      <c r="R1942" s="1"/>
      <c r="S1942" s="1"/>
      <c r="AD1942" s="1"/>
      <c r="AE1942" s="1"/>
    </row>
    <row r="1943" spans="18:31" ht="75" customHeight="1">
      <c r="R1943" s="1"/>
      <c r="S1943" s="1"/>
      <c r="AD1943" s="1"/>
      <c r="AE1943" s="1"/>
    </row>
    <row r="1944" spans="18:31" ht="75" customHeight="1">
      <c r="R1944" s="1"/>
      <c r="S1944" s="1"/>
      <c r="AD1944" s="1"/>
      <c r="AE1944" s="1"/>
    </row>
    <row r="1945" spans="18:31" ht="75" customHeight="1">
      <c r="R1945" s="1"/>
      <c r="S1945" s="1"/>
      <c r="AD1945" s="1"/>
      <c r="AE1945" s="1"/>
    </row>
    <row r="1946" spans="18:31" ht="75" customHeight="1">
      <c r="R1946" s="1"/>
      <c r="S1946" s="1"/>
      <c r="AD1946" s="1"/>
      <c r="AE1946" s="1"/>
    </row>
    <row r="1947" spans="18:31" ht="75" customHeight="1">
      <c r="R1947" s="1"/>
      <c r="S1947" s="1"/>
      <c r="AD1947" s="1"/>
      <c r="AE1947" s="1"/>
    </row>
    <row r="1948" spans="18:31" ht="75" customHeight="1">
      <c r="R1948" s="1"/>
      <c r="S1948" s="1"/>
      <c r="AD1948" s="1"/>
      <c r="AE1948" s="1"/>
    </row>
    <row r="1949" spans="18:31" ht="75" customHeight="1">
      <c r="R1949" s="1"/>
      <c r="S1949" s="1"/>
      <c r="AD1949" s="1"/>
      <c r="AE1949" s="1"/>
    </row>
    <row r="1950" spans="18:31" ht="75" customHeight="1">
      <c r="R1950" s="1"/>
      <c r="S1950" s="1"/>
      <c r="AD1950" s="1"/>
      <c r="AE1950" s="1"/>
    </row>
    <row r="1951" spans="18:31" ht="75" customHeight="1">
      <c r="R1951" s="1"/>
      <c r="S1951" s="1"/>
      <c r="AD1951" s="1"/>
      <c r="AE1951" s="1"/>
    </row>
    <row r="1952" spans="18:31" ht="75" customHeight="1">
      <c r="R1952" s="1"/>
      <c r="S1952" s="1"/>
      <c r="AD1952" s="1"/>
      <c r="AE1952" s="1"/>
    </row>
    <row r="1953" spans="18:31" ht="75" customHeight="1">
      <c r="R1953" s="1"/>
      <c r="S1953" s="1"/>
      <c r="AD1953" s="1"/>
      <c r="AE1953" s="1"/>
    </row>
    <row r="1954" spans="18:31" ht="75" customHeight="1">
      <c r="R1954" s="1"/>
      <c r="S1954" s="1"/>
      <c r="AD1954" s="1"/>
      <c r="AE1954" s="1"/>
    </row>
    <row r="1955" spans="18:31" ht="75" customHeight="1">
      <c r="R1955" s="1"/>
      <c r="S1955" s="1"/>
      <c r="AD1955" s="1"/>
      <c r="AE1955" s="1"/>
    </row>
    <row r="1956" spans="18:31" ht="75" customHeight="1">
      <c r="R1956" s="1"/>
      <c r="S1956" s="1"/>
      <c r="AD1956" s="1"/>
      <c r="AE1956" s="1"/>
    </row>
    <row r="1957" spans="18:31" ht="75" customHeight="1">
      <c r="R1957" s="1"/>
      <c r="S1957" s="1"/>
      <c r="AD1957" s="1"/>
      <c r="AE1957" s="1"/>
    </row>
    <row r="1958" spans="18:31" ht="75" customHeight="1">
      <c r="R1958" s="1"/>
      <c r="S1958" s="1"/>
      <c r="AD1958" s="1"/>
      <c r="AE1958" s="1"/>
    </row>
    <row r="1959" spans="18:31" ht="75" customHeight="1">
      <c r="R1959" s="1"/>
      <c r="S1959" s="1"/>
      <c r="AD1959" s="1"/>
      <c r="AE1959" s="1"/>
    </row>
    <row r="1960" spans="18:31" ht="75" customHeight="1">
      <c r="R1960" s="1"/>
      <c r="S1960" s="1"/>
      <c r="AD1960" s="1"/>
      <c r="AE1960" s="1"/>
    </row>
    <row r="1961" spans="18:31" ht="75" customHeight="1">
      <c r="R1961" s="1"/>
      <c r="S1961" s="1"/>
      <c r="AD1961" s="1"/>
      <c r="AE1961" s="1"/>
    </row>
    <row r="1962" spans="18:31" ht="75" customHeight="1">
      <c r="R1962" s="1"/>
      <c r="S1962" s="1"/>
      <c r="AD1962" s="1"/>
      <c r="AE1962" s="1"/>
    </row>
    <row r="1963" spans="18:31" ht="75" customHeight="1">
      <c r="R1963" s="1"/>
      <c r="S1963" s="1"/>
      <c r="AD1963" s="1"/>
      <c r="AE1963" s="1"/>
    </row>
    <row r="1964" spans="18:31" ht="75" customHeight="1">
      <c r="R1964" s="1"/>
      <c r="S1964" s="1"/>
      <c r="AD1964" s="1"/>
      <c r="AE1964" s="1"/>
    </row>
    <row r="1965" spans="18:31" ht="75" customHeight="1">
      <c r="R1965" s="1"/>
      <c r="S1965" s="1"/>
      <c r="AD1965" s="1"/>
      <c r="AE1965" s="1"/>
    </row>
    <row r="1966" spans="18:31" ht="75" customHeight="1">
      <c r="R1966" s="1"/>
      <c r="S1966" s="1"/>
      <c r="AD1966" s="1"/>
      <c r="AE1966" s="1"/>
    </row>
    <row r="1967" spans="18:31" ht="75" customHeight="1">
      <c r="R1967" s="1"/>
      <c r="S1967" s="1"/>
      <c r="AD1967" s="1"/>
      <c r="AE1967" s="1"/>
    </row>
    <row r="1968" spans="18:31" ht="75" customHeight="1">
      <c r="R1968" s="1"/>
      <c r="S1968" s="1"/>
      <c r="AD1968" s="1"/>
      <c r="AE1968" s="1"/>
    </row>
    <row r="1969" spans="18:31" ht="75" customHeight="1">
      <c r="R1969" s="1"/>
      <c r="S1969" s="1"/>
      <c r="AD1969" s="1"/>
      <c r="AE1969" s="1"/>
    </row>
    <row r="1970" spans="18:31" ht="75" customHeight="1">
      <c r="R1970" s="1"/>
      <c r="S1970" s="1"/>
      <c r="AD1970" s="1"/>
      <c r="AE1970" s="1"/>
    </row>
    <row r="1971" spans="18:31" ht="75" customHeight="1">
      <c r="R1971" s="1"/>
      <c r="S1971" s="1"/>
      <c r="AD1971" s="1"/>
      <c r="AE1971" s="1"/>
    </row>
    <row r="1972" spans="18:31" ht="75" customHeight="1">
      <c r="R1972" s="1"/>
      <c r="S1972" s="1"/>
      <c r="AD1972" s="1"/>
      <c r="AE1972" s="1"/>
    </row>
    <row r="1973" spans="18:31" ht="75" customHeight="1">
      <c r="R1973" s="1"/>
      <c r="S1973" s="1"/>
      <c r="AD1973" s="1"/>
      <c r="AE1973" s="1"/>
    </row>
    <row r="1974" spans="18:31" ht="75" customHeight="1">
      <c r="R1974" s="1"/>
      <c r="S1974" s="1"/>
      <c r="AD1974" s="1"/>
      <c r="AE1974" s="1"/>
    </row>
    <row r="1975" spans="18:31" ht="75" customHeight="1">
      <c r="R1975" s="1"/>
      <c r="S1975" s="1"/>
      <c r="AD1975" s="1"/>
      <c r="AE1975" s="1"/>
    </row>
    <row r="1976" spans="18:31" ht="75" customHeight="1">
      <c r="R1976" s="1"/>
      <c r="S1976" s="1"/>
      <c r="AD1976" s="1"/>
      <c r="AE1976" s="1"/>
    </row>
    <row r="1977" spans="18:31" ht="75" customHeight="1">
      <c r="R1977" s="1"/>
      <c r="S1977" s="1"/>
      <c r="AD1977" s="1"/>
      <c r="AE1977" s="1"/>
    </row>
    <row r="1978" spans="18:31" ht="75" customHeight="1">
      <c r="R1978" s="1"/>
      <c r="S1978" s="1"/>
      <c r="AD1978" s="1"/>
      <c r="AE1978" s="1"/>
    </row>
    <row r="1979" spans="18:31" ht="75" customHeight="1">
      <c r="R1979" s="1"/>
      <c r="S1979" s="1"/>
      <c r="AD1979" s="1"/>
      <c r="AE1979" s="1"/>
    </row>
    <row r="1980" spans="18:31" ht="75" customHeight="1">
      <c r="R1980" s="1"/>
      <c r="S1980" s="1"/>
      <c r="AD1980" s="1"/>
      <c r="AE1980" s="1"/>
    </row>
    <row r="1981" spans="18:31" ht="75" customHeight="1">
      <c r="R1981" s="1"/>
      <c r="S1981" s="1"/>
      <c r="AD1981" s="1"/>
      <c r="AE1981" s="1"/>
    </row>
    <row r="1982" spans="18:31" ht="75" customHeight="1">
      <c r="R1982" s="1"/>
      <c r="S1982" s="1"/>
      <c r="AD1982" s="1"/>
      <c r="AE1982" s="1"/>
    </row>
    <row r="1983" spans="18:31" ht="75" customHeight="1">
      <c r="R1983" s="1"/>
      <c r="S1983" s="1"/>
      <c r="AD1983" s="1"/>
      <c r="AE1983" s="1"/>
    </row>
    <row r="1984" spans="18:31" ht="75" customHeight="1">
      <c r="R1984" s="1"/>
      <c r="S1984" s="1"/>
      <c r="AD1984" s="1"/>
      <c r="AE1984" s="1"/>
    </row>
    <row r="1985" spans="18:31" ht="75" customHeight="1">
      <c r="R1985" s="1"/>
      <c r="S1985" s="1"/>
      <c r="AD1985" s="1"/>
      <c r="AE1985" s="1"/>
    </row>
    <row r="1986" spans="18:31" ht="75" customHeight="1">
      <c r="R1986" s="1"/>
      <c r="S1986" s="1"/>
      <c r="AD1986" s="1"/>
      <c r="AE1986" s="1"/>
    </row>
    <row r="1987" spans="18:31" ht="75" customHeight="1">
      <c r="R1987" s="1"/>
      <c r="S1987" s="1"/>
      <c r="AD1987" s="1"/>
      <c r="AE1987" s="1"/>
    </row>
    <row r="1988" spans="18:31" ht="75" customHeight="1">
      <c r="R1988" s="1"/>
      <c r="S1988" s="1"/>
      <c r="AD1988" s="1"/>
      <c r="AE1988" s="1"/>
    </row>
    <row r="1989" spans="18:31" ht="75" customHeight="1">
      <c r="R1989" s="1"/>
      <c r="S1989" s="1"/>
      <c r="AD1989" s="1"/>
      <c r="AE1989" s="1"/>
    </row>
    <row r="1990" spans="18:31" ht="75" customHeight="1">
      <c r="R1990" s="1"/>
      <c r="S1990" s="1"/>
      <c r="AD1990" s="1"/>
      <c r="AE1990" s="1"/>
    </row>
    <row r="1991" spans="18:31" ht="75" customHeight="1">
      <c r="R1991" s="1"/>
      <c r="S1991" s="1"/>
      <c r="AD1991" s="1"/>
      <c r="AE1991" s="1"/>
    </row>
    <row r="1992" spans="18:31" ht="75" customHeight="1">
      <c r="R1992" s="1"/>
      <c r="S1992" s="1"/>
      <c r="AD1992" s="1"/>
      <c r="AE1992" s="1"/>
    </row>
    <row r="1993" spans="18:31" ht="75" customHeight="1">
      <c r="R1993" s="1"/>
      <c r="S1993" s="1"/>
      <c r="AD1993" s="1"/>
      <c r="AE1993" s="1"/>
    </row>
    <row r="1994" spans="18:31" ht="75" customHeight="1">
      <c r="R1994" s="1"/>
      <c r="S1994" s="1"/>
      <c r="AD1994" s="1"/>
      <c r="AE1994" s="1"/>
    </row>
    <row r="1995" spans="18:31" ht="75" customHeight="1">
      <c r="R1995" s="1"/>
      <c r="S1995" s="1"/>
      <c r="AD1995" s="1"/>
      <c r="AE1995" s="1"/>
    </row>
    <row r="1996" spans="18:31" ht="75" customHeight="1">
      <c r="R1996" s="1"/>
      <c r="S1996" s="1"/>
      <c r="AD1996" s="1"/>
      <c r="AE1996" s="1"/>
    </row>
    <row r="1997" spans="18:31" ht="75" customHeight="1">
      <c r="R1997" s="1"/>
      <c r="S1997" s="1"/>
      <c r="AD1997" s="1"/>
      <c r="AE1997" s="1"/>
    </row>
    <row r="1998" spans="18:31" ht="75" customHeight="1">
      <c r="R1998" s="1"/>
      <c r="S1998" s="1"/>
      <c r="AD1998" s="1"/>
      <c r="AE1998" s="1"/>
    </row>
    <row r="1999" spans="18:31" ht="75" customHeight="1">
      <c r="R1999" s="1"/>
      <c r="S1999" s="1"/>
      <c r="AD1999" s="1"/>
      <c r="AE1999" s="1"/>
    </row>
    <row r="2000" spans="18:31" ht="75" customHeight="1">
      <c r="R2000" s="1"/>
      <c r="S2000" s="1"/>
      <c r="AD2000" s="1"/>
      <c r="AE2000" s="1"/>
    </row>
    <row r="2001" spans="18:31" ht="75" customHeight="1">
      <c r="R2001" s="1"/>
      <c r="S2001" s="1"/>
      <c r="AD2001" s="1"/>
      <c r="AE2001" s="1"/>
    </row>
    <row r="2002" spans="18:31" ht="75" customHeight="1">
      <c r="R2002" s="1"/>
      <c r="S2002" s="1"/>
      <c r="AD2002" s="1"/>
      <c r="AE2002" s="1"/>
    </row>
    <row r="2003" spans="18:31" ht="75" customHeight="1">
      <c r="R2003" s="1"/>
      <c r="S2003" s="1"/>
      <c r="AD2003" s="1"/>
      <c r="AE2003" s="1"/>
    </row>
    <row r="2004" spans="18:31" ht="75" customHeight="1">
      <c r="R2004" s="1"/>
      <c r="S2004" s="1"/>
      <c r="AD2004" s="1"/>
      <c r="AE2004" s="1"/>
    </row>
    <row r="2005" spans="18:31" ht="75" customHeight="1">
      <c r="R2005" s="1"/>
      <c r="S2005" s="1"/>
      <c r="AD2005" s="1"/>
      <c r="AE2005" s="1"/>
    </row>
    <row r="2006" spans="18:31" ht="75" customHeight="1">
      <c r="R2006" s="1"/>
      <c r="S2006" s="1"/>
      <c r="AD2006" s="1"/>
      <c r="AE2006" s="1"/>
    </row>
    <row r="2007" spans="18:31" ht="75" customHeight="1">
      <c r="R2007" s="1"/>
      <c r="S2007" s="1"/>
      <c r="AD2007" s="1"/>
      <c r="AE2007" s="1"/>
    </row>
    <row r="2008" spans="18:31" ht="75" customHeight="1">
      <c r="R2008" s="1"/>
      <c r="S2008" s="1"/>
      <c r="AD2008" s="1"/>
      <c r="AE2008" s="1"/>
    </row>
    <row r="2009" spans="18:31" ht="75" customHeight="1">
      <c r="R2009" s="1"/>
      <c r="S2009" s="1"/>
      <c r="AD2009" s="1"/>
      <c r="AE2009" s="1"/>
    </row>
    <row r="2010" spans="18:31" ht="75" customHeight="1">
      <c r="R2010" s="1"/>
      <c r="S2010" s="1"/>
      <c r="AD2010" s="1"/>
      <c r="AE2010" s="1"/>
    </row>
    <row r="2011" spans="18:31" ht="75" customHeight="1">
      <c r="R2011" s="1"/>
      <c r="S2011" s="1"/>
      <c r="AD2011" s="1"/>
      <c r="AE2011" s="1"/>
    </row>
    <row r="2012" spans="18:31" ht="75" customHeight="1">
      <c r="R2012" s="1"/>
      <c r="S2012" s="1"/>
      <c r="AD2012" s="1"/>
      <c r="AE2012" s="1"/>
    </row>
    <row r="2013" spans="18:31" ht="75" customHeight="1">
      <c r="R2013" s="1"/>
      <c r="S2013" s="1"/>
      <c r="AD2013" s="1"/>
      <c r="AE2013" s="1"/>
    </row>
    <row r="2014" spans="18:31" ht="75" customHeight="1">
      <c r="R2014" s="1"/>
      <c r="S2014" s="1"/>
      <c r="AD2014" s="1"/>
      <c r="AE2014" s="1"/>
    </row>
    <row r="2015" spans="18:31" ht="75" customHeight="1">
      <c r="R2015" s="1"/>
      <c r="S2015" s="1"/>
      <c r="AD2015" s="1"/>
      <c r="AE2015" s="1"/>
    </row>
    <row r="2016" spans="18:31" ht="75" customHeight="1">
      <c r="R2016" s="1"/>
      <c r="S2016" s="1"/>
      <c r="AD2016" s="1"/>
      <c r="AE2016" s="1"/>
    </row>
    <row r="2017" spans="18:31" ht="75" customHeight="1">
      <c r="R2017" s="1"/>
      <c r="S2017" s="1"/>
      <c r="AD2017" s="1"/>
      <c r="AE2017" s="1"/>
    </row>
    <row r="2018" spans="18:31" ht="75" customHeight="1">
      <c r="R2018" s="1"/>
      <c r="S2018" s="1"/>
      <c r="AD2018" s="1"/>
      <c r="AE2018" s="1"/>
    </row>
    <row r="2019" spans="18:31" ht="75" customHeight="1">
      <c r="R2019" s="1"/>
      <c r="S2019" s="1"/>
      <c r="AD2019" s="1"/>
      <c r="AE2019" s="1"/>
    </row>
    <row r="2020" spans="18:31" ht="75" customHeight="1">
      <c r="R2020" s="1"/>
      <c r="S2020" s="1"/>
      <c r="AD2020" s="1"/>
      <c r="AE2020" s="1"/>
    </row>
    <row r="2021" spans="18:31" ht="75" customHeight="1">
      <c r="R2021" s="1"/>
      <c r="S2021" s="1"/>
      <c r="AD2021" s="1"/>
      <c r="AE2021" s="1"/>
    </row>
    <row r="2022" spans="18:31" ht="75" customHeight="1">
      <c r="R2022" s="1"/>
      <c r="S2022" s="1"/>
      <c r="AD2022" s="1"/>
      <c r="AE2022" s="1"/>
    </row>
    <row r="2023" spans="18:31" ht="75" customHeight="1">
      <c r="R2023" s="1"/>
      <c r="S2023" s="1"/>
      <c r="AD2023" s="1"/>
      <c r="AE2023" s="1"/>
    </row>
    <row r="2024" spans="18:31" ht="75" customHeight="1">
      <c r="R2024" s="1"/>
      <c r="S2024" s="1"/>
      <c r="AD2024" s="1"/>
      <c r="AE2024" s="1"/>
    </row>
    <row r="2025" spans="18:31" ht="75" customHeight="1">
      <c r="R2025" s="1"/>
      <c r="S2025" s="1"/>
      <c r="AD2025" s="1"/>
      <c r="AE2025" s="1"/>
    </row>
    <row r="2026" spans="18:31" ht="75" customHeight="1">
      <c r="R2026" s="1"/>
      <c r="S2026" s="1"/>
      <c r="AD2026" s="1"/>
      <c r="AE2026" s="1"/>
    </row>
    <row r="2027" spans="18:31" ht="75" customHeight="1">
      <c r="R2027" s="1"/>
      <c r="S2027" s="1"/>
      <c r="AD2027" s="1"/>
      <c r="AE2027" s="1"/>
    </row>
    <row r="2028" spans="18:31" ht="75" customHeight="1">
      <c r="R2028" s="1"/>
      <c r="S2028" s="1"/>
      <c r="AD2028" s="1"/>
      <c r="AE2028" s="1"/>
    </row>
    <row r="2029" spans="18:31" ht="75" customHeight="1">
      <c r="R2029" s="1"/>
      <c r="S2029" s="1"/>
      <c r="AD2029" s="1"/>
      <c r="AE2029" s="1"/>
    </row>
    <row r="2030" spans="18:31" ht="75" customHeight="1">
      <c r="R2030" s="1"/>
      <c r="S2030" s="1"/>
      <c r="AD2030" s="1"/>
      <c r="AE2030" s="1"/>
    </row>
    <row r="2031" spans="18:31" ht="75" customHeight="1">
      <c r="R2031" s="1"/>
      <c r="S2031" s="1"/>
      <c r="AD2031" s="1"/>
      <c r="AE2031" s="1"/>
    </row>
    <row r="2032" spans="18:31" ht="75" customHeight="1">
      <c r="R2032" s="1"/>
      <c r="S2032" s="1"/>
      <c r="AD2032" s="1"/>
      <c r="AE2032" s="1"/>
    </row>
    <row r="2033" spans="18:31" ht="75" customHeight="1">
      <c r="R2033" s="1"/>
      <c r="S2033" s="1"/>
      <c r="AD2033" s="1"/>
      <c r="AE2033" s="1"/>
    </row>
    <row r="2034" spans="18:31" ht="75" customHeight="1">
      <c r="R2034" s="1"/>
      <c r="S2034" s="1"/>
      <c r="AD2034" s="1"/>
      <c r="AE2034" s="1"/>
    </row>
    <row r="2035" spans="18:31" ht="75" customHeight="1">
      <c r="R2035" s="1"/>
      <c r="S2035" s="1"/>
      <c r="AD2035" s="1"/>
      <c r="AE2035" s="1"/>
    </row>
    <row r="2036" spans="18:31" ht="75" customHeight="1">
      <c r="R2036" s="1"/>
      <c r="S2036" s="1"/>
      <c r="AD2036" s="1"/>
      <c r="AE2036" s="1"/>
    </row>
    <row r="2037" spans="18:31" ht="75" customHeight="1">
      <c r="R2037" s="1"/>
      <c r="S2037" s="1"/>
      <c r="AD2037" s="1"/>
      <c r="AE2037" s="1"/>
    </row>
    <row r="2038" spans="18:31" ht="75" customHeight="1">
      <c r="R2038" s="1"/>
      <c r="S2038" s="1"/>
      <c r="AD2038" s="1"/>
      <c r="AE2038" s="1"/>
    </row>
    <row r="2039" spans="18:31" ht="75" customHeight="1">
      <c r="R2039" s="1"/>
      <c r="S2039" s="1"/>
      <c r="AD2039" s="1"/>
      <c r="AE2039" s="1"/>
    </row>
    <row r="2040" spans="18:31" ht="75" customHeight="1">
      <c r="R2040" s="1"/>
      <c r="S2040" s="1"/>
      <c r="AD2040" s="1"/>
      <c r="AE2040" s="1"/>
    </row>
    <row r="2041" spans="18:31" ht="75" customHeight="1">
      <c r="R2041" s="1"/>
      <c r="S2041" s="1"/>
      <c r="AD2041" s="1"/>
      <c r="AE2041" s="1"/>
    </row>
    <row r="2042" spans="18:31" ht="75" customHeight="1">
      <c r="R2042" s="1"/>
      <c r="S2042" s="1"/>
      <c r="AD2042" s="1"/>
      <c r="AE2042" s="1"/>
    </row>
    <row r="2043" spans="18:31" ht="75" customHeight="1">
      <c r="R2043" s="1"/>
      <c r="S2043" s="1"/>
      <c r="AD2043" s="1"/>
      <c r="AE2043" s="1"/>
    </row>
    <row r="2044" spans="18:31" ht="75" customHeight="1">
      <c r="R2044" s="1"/>
      <c r="S2044" s="1"/>
      <c r="AD2044" s="1"/>
      <c r="AE2044" s="1"/>
    </row>
    <row r="2045" spans="18:31" ht="75" customHeight="1">
      <c r="R2045" s="1"/>
      <c r="S2045" s="1"/>
      <c r="AD2045" s="1"/>
      <c r="AE2045" s="1"/>
    </row>
    <row r="2046" spans="18:31" ht="75" customHeight="1">
      <c r="R2046" s="1"/>
      <c r="S2046" s="1"/>
      <c r="AD2046" s="1"/>
      <c r="AE2046" s="1"/>
    </row>
    <row r="2047" spans="18:31" ht="75" customHeight="1">
      <c r="R2047" s="1"/>
      <c r="S2047" s="1"/>
      <c r="AD2047" s="1"/>
      <c r="AE2047" s="1"/>
    </row>
    <row r="2048" spans="18:31" ht="75" customHeight="1">
      <c r="R2048" s="1"/>
      <c r="S2048" s="1"/>
      <c r="AD2048" s="1"/>
      <c r="AE2048" s="1"/>
    </row>
    <row r="2049" spans="18:31" ht="75" customHeight="1">
      <c r="R2049" s="1"/>
      <c r="S2049" s="1"/>
      <c r="AD2049" s="1"/>
      <c r="AE2049" s="1"/>
    </row>
    <row r="2050" spans="18:31" ht="75" customHeight="1">
      <c r="R2050" s="1"/>
      <c r="S2050" s="1"/>
      <c r="AD2050" s="1"/>
      <c r="AE2050" s="1"/>
    </row>
    <row r="2051" spans="18:31" ht="75" customHeight="1">
      <c r="R2051" s="1"/>
      <c r="S2051" s="1"/>
      <c r="AD2051" s="1"/>
      <c r="AE2051" s="1"/>
    </row>
    <row r="2052" spans="18:31" ht="75" customHeight="1">
      <c r="R2052" s="1"/>
      <c r="S2052" s="1"/>
      <c r="AD2052" s="1"/>
      <c r="AE2052" s="1"/>
    </row>
    <row r="2053" spans="18:31" ht="75" customHeight="1">
      <c r="R2053" s="1"/>
      <c r="S2053" s="1"/>
      <c r="AD2053" s="1"/>
      <c r="AE2053" s="1"/>
    </row>
    <row r="2054" spans="18:31" ht="75" customHeight="1">
      <c r="R2054" s="1"/>
      <c r="S2054" s="1"/>
      <c r="AD2054" s="1"/>
      <c r="AE2054" s="1"/>
    </row>
    <row r="2055" spans="18:31" ht="75" customHeight="1">
      <c r="R2055" s="1"/>
      <c r="S2055" s="1"/>
      <c r="AD2055" s="1"/>
      <c r="AE2055" s="1"/>
    </row>
    <row r="2056" spans="18:31" ht="75" customHeight="1">
      <c r="R2056" s="1"/>
      <c r="S2056" s="1"/>
      <c r="AD2056" s="1"/>
      <c r="AE2056" s="1"/>
    </row>
    <row r="2057" spans="18:31" ht="75" customHeight="1">
      <c r="R2057" s="1"/>
      <c r="S2057" s="1"/>
      <c r="AD2057" s="1"/>
      <c r="AE2057" s="1"/>
    </row>
    <row r="2058" spans="18:31" ht="75" customHeight="1">
      <c r="R2058" s="1"/>
      <c r="S2058" s="1"/>
      <c r="AD2058" s="1"/>
      <c r="AE2058" s="1"/>
    </row>
    <row r="2059" spans="18:31" ht="75" customHeight="1">
      <c r="R2059" s="1"/>
      <c r="S2059" s="1"/>
      <c r="AD2059" s="1"/>
      <c r="AE2059" s="1"/>
    </row>
    <row r="2060" spans="18:31" ht="75" customHeight="1">
      <c r="R2060" s="1"/>
      <c r="S2060" s="1"/>
      <c r="AD2060" s="1"/>
      <c r="AE2060" s="1"/>
    </row>
    <row r="2061" spans="18:31" ht="75" customHeight="1">
      <c r="R2061" s="1"/>
      <c r="S2061" s="1"/>
      <c r="AD2061" s="1"/>
      <c r="AE2061" s="1"/>
    </row>
    <row r="2062" spans="18:31" ht="75" customHeight="1">
      <c r="R2062" s="1"/>
      <c r="S2062" s="1"/>
      <c r="AD2062" s="1"/>
      <c r="AE2062" s="1"/>
    </row>
    <row r="2063" spans="18:31" ht="75" customHeight="1">
      <c r="R2063" s="1"/>
      <c r="S2063" s="1"/>
      <c r="AD2063" s="1"/>
      <c r="AE2063" s="1"/>
    </row>
    <row r="2064" spans="18:31" ht="75" customHeight="1">
      <c r="R2064" s="1"/>
      <c r="S2064" s="1"/>
      <c r="AD2064" s="1"/>
      <c r="AE2064" s="1"/>
    </row>
    <row r="2065" spans="18:31" ht="75" customHeight="1">
      <c r="R2065" s="1"/>
      <c r="S2065" s="1"/>
      <c r="AD2065" s="1"/>
      <c r="AE2065" s="1"/>
    </row>
    <row r="2066" spans="18:31" ht="75" customHeight="1">
      <c r="R2066" s="1"/>
      <c r="S2066" s="1"/>
      <c r="AD2066" s="1"/>
      <c r="AE2066" s="1"/>
    </row>
    <row r="2067" spans="18:31" ht="75" customHeight="1">
      <c r="R2067" s="1"/>
      <c r="S2067" s="1"/>
      <c r="AD2067" s="1"/>
      <c r="AE2067" s="1"/>
    </row>
    <row r="2068" spans="18:31" ht="75" customHeight="1">
      <c r="R2068" s="1"/>
      <c r="S2068" s="1"/>
      <c r="AD2068" s="1"/>
      <c r="AE2068" s="1"/>
    </row>
    <row r="2069" spans="18:31" ht="75" customHeight="1">
      <c r="R2069" s="1"/>
      <c r="S2069" s="1"/>
      <c r="AD2069" s="1"/>
      <c r="AE2069" s="1"/>
    </row>
    <row r="2070" spans="18:31" ht="75" customHeight="1">
      <c r="R2070" s="1"/>
      <c r="S2070" s="1"/>
      <c r="AD2070" s="1"/>
      <c r="AE2070" s="1"/>
    </row>
    <row r="2071" spans="18:31" ht="75" customHeight="1">
      <c r="R2071" s="1"/>
      <c r="S2071" s="1"/>
      <c r="AD2071" s="1"/>
      <c r="AE2071" s="1"/>
    </row>
    <row r="2072" spans="18:31" ht="75" customHeight="1">
      <c r="R2072" s="1"/>
      <c r="S2072" s="1"/>
      <c r="AD2072" s="1"/>
      <c r="AE2072" s="1"/>
    </row>
    <row r="2073" spans="18:31" ht="75" customHeight="1">
      <c r="R2073" s="1"/>
      <c r="S2073" s="1"/>
      <c r="AD2073" s="1"/>
      <c r="AE2073" s="1"/>
    </row>
    <row r="2074" spans="18:31" ht="75" customHeight="1">
      <c r="R2074" s="1"/>
      <c r="S2074" s="1"/>
      <c r="AD2074" s="1"/>
      <c r="AE2074" s="1"/>
    </row>
    <row r="2075" spans="18:31" ht="75" customHeight="1">
      <c r="R2075" s="1"/>
      <c r="S2075" s="1"/>
      <c r="AD2075" s="1"/>
      <c r="AE2075" s="1"/>
    </row>
    <row r="2076" spans="18:31" ht="75" customHeight="1">
      <c r="R2076" s="1"/>
      <c r="S2076" s="1"/>
      <c r="AD2076" s="1"/>
      <c r="AE2076" s="1"/>
    </row>
    <row r="2077" spans="18:31" ht="75" customHeight="1">
      <c r="R2077" s="1"/>
      <c r="S2077" s="1"/>
      <c r="AD2077" s="1"/>
      <c r="AE2077" s="1"/>
    </row>
    <row r="2078" spans="18:31" ht="75" customHeight="1">
      <c r="R2078" s="1"/>
      <c r="S2078" s="1"/>
      <c r="AD2078" s="1"/>
      <c r="AE2078" s="1"/>
    </row>
    <row r="2079" spans="18:31" ht="75" customHeight="1">
      <c r="R2079" s="1"/>
      <c r="S2079" s="1"/>
      <c r="AD2079" s="1"/>
      <c r="AE2079" s="1"/>
    </row>
    <row r="2080" spans="18:31" ht="75" customHeight="1">
      <c r="R2080" s="1"/>
      <c r="S2080" s="1"/>
      <c r="AD2080" s="1"/>
      <c r="AE2080" s="1"/>
    </row>
    <row r="2081" spans="18:31" ht="75" customHeight="1">
      <c r="R2081" s="1"/>
      <c r="S2081" s="1"/>
      <c r="AD2081" s="1"/>
      <c r="AE2081" s="1"/>
    </row>
    <row r="2082" spans="18:31" ht="75" customHeight="1">
      <c r="R2082" s="1"/>
      <c r="S2082" s="1"/>
      <c r="AD2082" s="1"/>
      <c r="AE2082" s="1"/>
    </row>
    <row r="2083" spans="18:31" ht="75" customHeight="1">
      <c r="R2083" s="1"/>
      <c r="S2083" s="1"/>
      <c r="AD2083" s="1"/>
      <c r="AE2083" s="1"/>
    </row>
    <row r="2084" spans="18:31" ht="75" customHeight="1">
      <c r="R2084" s="1"/>
      <c r="S2084" s="1"/>
      <c r="AD2084" s="1"/>
      <c r="AE2084" s="1"/>
    </row>
    <row r="2085" spans="18:31" ht="75" customHeight="1">
      <c r="R2085" s="1"/>
      <c r="S2085" s="1"/>
      <c r="AD2085" s="1"/>
      <c r="AE2085" s="1"/>
    </row>
    <row r="2086" spans="18:31" ht="75" customHeight="1">
      <c r="R2086" s="1"/>
      <c r="S2086" s="1"/>
      <c r="AD2086" s="1"/>
      <c r="AE2086" s="1"/>
    </row>
    <row r="2087" spans="18:31" ht="75" customHeight="1">
      <c r="R2087" s="1"/>
      <c r="S2087" s="1"/>
      <c r="AD2087" s="1"/>
      <c r="AE2087" s="1"/>
    </row>
    <row r="2088" spans="18:31" ht="75" customHeight="1">
      <c r="R2088" s="1"/>
      <c r="S2088" s="1"/>
      <c r="AD2088" s="1"/>
      <c r="AE2088" s="1"/>
    </row>
    <row r="2089" spans="18:31" ht="75" customHeight="1">
      <c r="R2089" s="1"/>
      <c r="S2089" s="1"/>
      <c r="AD2089" s="1"/>
      <c r="AE2089" s="1"/>
    </row>
    <row r="2090" spans="18:31" ht="75" customHeight="1">
      <c r="R2090" s="1"/>
      <c r="S2090" s="1"/>
      <c r="AD2090" s="1"/>
      <c r="AE2090" s="1"/>
    </row>
    <row r="2091" spans="18:31" ht="75" customHeight="1">
      <c r="R2091" s="1"/>
      <c r="S2091" s="1"/>
      <c r="AD2091" s="1"/>
      <c r="AE2091" s="1"/>
    </row>
    <row r="2092" spans="18:31" ht="75" customHeight="1">
      <c r="R2092" s="1"/>
      <c r="S2092" s="1"/>
      <c r="AD2092" s="1"/>
      <c r="AE2092" s="1"/>
    </row>
    <row r="2093" spans="18:31" ht="75" customHeight="1">
      <c r="R2093" s="1"/>
      <c r="S2093" s="1"/>
      <c r="AD2093" s="1"/>
      <c r="AE2093" s="1"/>
    </row>
    <row r="2094" spans="18:31" ht="75" customHeight="1">
      <c r="R2094" s="1"/>
      <c r="S2094" s="1"/>
      <c r="AD2094" s="1"/>
      <c r="AE2094" s="1"/>
    </row>
    <row r="2095" spans="18:31" ht="75" customHeight="1">
      <c r="R2095" s="1"/>
      <c r="S2095" s="1"/>
      <c r="AD2095" s="1"/>
      <c r="AE2095" s="1"/>
    </row>
    <row r="2096" spans="18:31" ht="75" customHeight="1">
      <c r="R2096" s="1"/>
      <c r="S2096" s="1"/>
      <c r="AD2096" s="1"/>
      <c r="AE2096" s="1"/>
    </row>
    <row r="2097" spans="18:31" ht="75" customHeight="1">
      <c r="R2097" s="1"/>
      <c r="S2097" s="1"/>
      <c r="AD2097" s="1"/>
      <c r="AE2097" s="1"/>
    </row>
    <row r="2098" spans="18:31" ht="75" customHeight="1">
      <c r="R2098" s="1"/>
      <c r="S2098" s="1"/>
      <c r="AD2098" s="1"/>
      <c r="AE2098" s="1"/>
    </row>
    <row r="2099" spans="18:31" ht="75" customHeight="1">
      <c r="R2099" s="1"/>
      <c r="S2099" s="1"/>
      <c r="AD2099" s="1"/>
      <c r="AE2099" s="1"/>
    </row>
    <row r="2100" spans="18:31" ht="75" customHeight="1">
      <c r="R2100" s="1"/>
      <c r="S2100" s="1"/>
      <c r="AD2100" s="1"/>
      <c r="AE2100" s="1"/>
    </row>
    <row r="2101" spans="18:31" ht="75" customHeight="1">
      <c r="R2101" s="1"/>
      <c r="S2101" s="1"/>
      <c r="AD2101" s="1"/>
      <c r="AE2101" s="1"/>
    </row>
    <row r="2102" spans="18:31" ht="75" customHeight="1">
      <c r="R2102" s="1"/>
      <c r="S2102" s="1"/>
      <c r="AD2102" s="1"/>
      <c r="AE2102" s="1"/>
    </row>
    <row r="2103" spans="18:31" ht="75" customHeight="1">
      <c r="R2103" s="1"/>
      <c r="S2103" s="1"/>
      <c r="AD2103" s="1"/>
      <c r="AE2103" s="1"/>
    </row>
    <row r="2104" spans="18:31" ht="75" customHeight="1">
      <c r="R2104" s="1"/>
      <c r="S2104" s="1"/>
      <c r="AD2104" s="1"/>
      <c r="AE2104" s="1"/>
    </row>
    <row r="2105" spans="18:31" ht="75" customHeight="1">
      <c r="R2105" s="1"/>
      <c r="S2105" s="1"/>
      <c r="AD2105" s="1"/>
      <c r="AE2105" s="1"/>
    </row>
    <row r="2106" spans="18:31" ht="75" customHeight="1">
      <c r="R2106" s="1"/>
      <c r="S2106" s="1"/>
      <c r="AD2106" s="1"/>
      <c r="AE2106" s="1"/>
    </row>
    <row r="2107" spans="18:31" ht="75" customHeight="1">
      <c r="R2107" s="1"/>
      <c r="S2107" s="1"/>
      <c r="AD2107" s="1"/>
      <c r="AE2107" s="1"/>
    </row>
    <row r="2108" spans="18:31" ht="75" customHeight="1">
      <c r="R2108" s="1"/>
      <c r="S2108" s="1"/>
      <c r="AD2108" s="1"/>
      <c r="AE2108" s="1"/>
    </row>
    <row r="2109" spans="18:31" ht="75" customHeight="1">
      <c r="R2109" s="1"/>
      <c r="S2109" s="1"/>
      <c r="AD2109" s="1"/>
      <c r="AE2109" s="1"/>
    </row>
    <row r="2110" spans="18:31" ht="75" customHeight="1">
      <c r="R2110" s="1"/>
      <c r="S2110" s="1"/>
      <c r="AD2110" s="1"/>
      <c r="AE2110" s="1"/>
    </row>
    <row r="2111" spans="18:31" ht="75" customHeight="1">
      <c r="R2111" s="1"/>
      <c r="S2111" s="1"/>
      <c r="AD2111" s="1"/>
      <c r="AE2111" s="1"/>
    </row>
    <row r="2112" spans="18:31" ht="75" customHeight="1">
      <c r="R2112" s="1"/>
      <c r="S2112" s="1"/>
      <c r="AD2112" s="1"/>
      <c r="AE2112" s="1"/>
    </row>
    <row r="2113" spans="18:31" ht="75" customHeight="1">
      <c r="R2113" s="1"/>
      <c r="S2113" s="1"/>
      <c r="AD2113" s="1"/>
      <c r="AE2113" s="1"/>
    </row>
    <row r="2114" spans="18:31" ht="75" customHeight="1">
      <c r="R2114" s="1"/>
      <c r="S2114" s="1"/>
      <c r="AD2114" s="1"/>
      <c r="AE2114" s="1"/>
    </row>
    <row r="2115" spans="18:31" ht="75" customHeight="1">
      <c r="R2115" s="1"/>
      <c r="S2115" s="1"/>
      <c r="AD2115" s="1"/>
      <c r="AE2115" s="1"/>
    </row>
    <row r="2116" spans="18:31" ht="75" customHeight="1">
      <c r="R2116" s="1"/>
      <c r="S2116" s="1"/>
      <c r="AD2116" s="1"/>
      <c r="AE2116" s="1"/>
    </row>
    <row r="2117" spans="18:31" ht="75" customHeight="1">
      <c r="R2117" s="1"/>
      <c r="S2117" s="1"/>
      <c r="AD2117" s="1"/>
      <c r="AE2117" s="1"/>
    </row>
    <row r="2118" spans="18:31" ht="75" customHeight="1">
      <c r="R2118" s="1"/>
      <c r="S2118" s="1"/>
      <c r="AD2118" s="1"/>
      <c r="AE2118" s="1"/>
    </row>
    <row r="2119" spans="18:31" ht="75" customHeight="1">
      <c r="R2119" s="1"/>
      <c r="S2119" s="1"/>
      <c r="AD2119" s="1"/>
      <c r="AE2119" s="1"/>
    </row>
    <row r="2120" spans="18:31" ht="75" customHeight="1">
      <c r="R2120" s="1"/>
      <c r="S2120" s="1"/>
      <c r="AD2120" s="1"/>
      <c r="AE2120" s="1"/>
    </row>
    <row r="2121" spans="18:31" ht="75" customHeight="1">
      <c r="R2121" s="1"/>
      <c r="S2121" s="1"/>
      <c r="AD2121" s="1"/>
      <c r="AE2121" s="1"/>
    </row>
    <row r="2122" spans="18:31" ht="75" customHeight="1">
      <c r="R2122" s="1"/>
      <c r="S2122" s="1"/>
      <c r="AD2122" s="1"/>
      <c r="AE2122" s="1"/>
    </row>
    <row r="2123" spans="18:31" ht="75" customHeight="1">
      <c r="R2123" s="1"/>
      <c r="S2123" s="1"/>
      <c r="AD2123" s="1"/>
      <c r="AE2123" s="1"/>
    </row>
    <row r="2124" spans="18:31" ht="75" customHeight="1">
      <c r="R2124" s="1"/>
      <c r="S2124" s="1"/>
      <c r="AD2124" s="1"/>
      <c r="AE2124" s="1"/>
    </row>
    <row r="2125" spans="18:31" ht="75" customHeight="1">
      <c r="R2125" s="1"/>
      <c r="S2125" s="1"/>
      <c r="AD2125" s="1"/>
      <c r="AE2125" s="1"/>
    </row>
    <row r="2126" spans="18:31" ht="75" customHeight="1">
      <c r="R2126" s="1"/>
      <c r="S2126" s="1"/>
      <c r="AD2126" s="1"/>
      <c r="AE2126" s="1"/>
    </row>
    <row r="2127" spans="18:31" ht="75" customHeight="1">
      <c r="R2127" s="1"/>
      <c r="S2127" s="1"/>
      <c r="AD2127" s="1"/>
      <c r="AE2127" s="1"/>
    </row>
    <row r="2128" spans="18:31" ht="75" customHeight="1">
      <c r="R2128" s="1"/>
      <c r="S2128" s="1"/>
      <c r="AD2128" s="1"/>
      <c r="AE2128" s="1"/>
    </row>
    <row r="2129" spans="18:31" ht="75" customHeight="1">
      <c r="R2129" s="1"/>
      <c r="S2129" s="1"/>
      <c r="AD2129" s="1"/>
      <c r="AE2129" s="1"/>
    </row>
    <row r="2130" spans="18:31" ht="75" customHeight="1">
      <c r="R2130" s="1"/>
      <c r="S2130" s="1"/>
      <c r="AD2130" s="1"/>
      <c r="AE2130" s="1"/>
    </row>
    <row r="2131" spans="18:31" ht="75" customHeight="1">
      <c r="R2131" s="1"/>
      <c r="S2131" s="1"/>
      <c r="AD2131" s="1"/>
      <c r="AE2131" s="1"/>
    </row>
    <row r="2132" spans="18:31" ht="75" customHeight="1">
      <c r="R2132" s="1"/>
      <c r="S2132" s="1"/>
      <c r="AD2132" s="1"/>
      <c r="AE2132" s="1"/>
    </row>
    <row r="2133" spans="18:31" ht="75" customHeight="1">
      <c r="R2133" s="1"/>
      <c r="S2133" s="1"/>
      <c r="AD2133" s="1"/>
      <c r="AE2133" s="1"/>
    </row>
    <row r="2134" spans="18:31" ht="75" customHeight="1">
      <c r="R2134" s="1"/>
      <c r="S2134" s="1"/>
      <c r="AD2134" s="1"/>
      <c r="AE2134" s="1"/>
    </row>
    <row r="2135" spans="18:31" ht="75" customHeight="1">
      <c r="R2135" s="1"/>
      <c r="S2135" s="1"/>
      <c r="AD2135" s="1"/>
      <c r="AE2135" s="1"/>
    </row>
    <row r="2136" spans="18:31" ht="75" customHeight="1">
      <c r="R2136" s="1"/>
      <c r="S2136" s="1"/>
      <c r="AD2136" s="1"/>
      <c r="AE2136" s="1"/>
    </row>
    <row r="2137" spans="18:31" ht="75" customHeight="1">
      <c r="R2137" s="1"/>
      <c r="S2137" s="1"/>
      <c r="AD2137" s="1"/>
      <c r="AE2137" s="1"/>
    </row>
    <row r="2138" spans="18:31" ht="75" customHeight="1">
      <c r="R2138" s="1"/>
      <c r="S2138" s="1"/>
      <c r="AD2138" s="1"/>
      <c r="AE2138" s="1"/>
    </row>
    <row r="2139" spans="18:31" ht="75" customHeight="1">
      <c r="R2139" s="1"/>
      <c r="S2139" s="1"/>
      <c r="AD2139" s="1"/>
      <c r="AE2139" s="1"/>
    </row>
    <row r="2140" spans="18:31" ht="75" customHeight="1">
      <c r="R2140" s="1"/>
      <c r="S2140" s="1"/>
      <c r="AD2140" s="1"/>
      <c r="AE2140" s="1"/>
    </row>
    <row r="2141" spans="18:31" ht="75" customHeight="1">
      <c r="R2141" s="1"/>
      <c r="S2141" s="1"/>
      <c r="AD2141" s="1"/>
      <c r="AE2141" s="1"/>
    </row>
    <row r="2142" spans="18:31" ht="75" customHeight="1">
      <c r="R2142" s="1"/>
      <c r="S2142" s="1"/>
      <c r="AD2142" s="1"/>
      <c r="AE2142" s="1"/>
    </row>
    <row r="2143" spans="18:31" ht="75" customHeight="1">
      <c r="R2143" s="1"/>
      <c r="S2143" s="1"/>
      <c r="AD2143" s="1"/>
      <c r="AE2143" s="1"/>
    </row>
    <row r="2144" spans="18:31" ht="75" customHeight="1">
      <c r="R2144" s="1"/>
      <c r="S2144" s="1"/>
      <c r="AD2144" s="1"/>
      <c r="AE2144" s="1"/>
    </row>
    <row r="2145" spans="18:31" ht="75" customHeight="1">
      <c r="R2145" s="1"/>
      <c r="S2145" s="1"/>
      <c r="AD2145" s="1"/>
      <c r="AE2145" s="1"/>
    </row>
    <row r="2146" spans="18:31" ht="75" customHeight="1">
      <c r="R2146" s="1"/>
      <c r="S2146" s="1"/>
      <c r="AD2146" s="1"/>
      <c r="AE2146" s="1"/>
    </row>
    <row r="2147" spans="18:31" ht="75" customHeight="1">
      <c r="R2147" s="1"/>
      <c r="S2147" s="1"/>
      <c r="AD2147" s="1"/>
      <c r="AE2147" s="1"/>
    </row>
    <row r="2148" spans="18:31" ht="75" customHeight="1">
      <c r="R2148" s="1"/>
      <c r="S2148" s="1"/>
      <c r="AD2148" s="1"/>
      <c r="AE2148" s="1"/>
    </row>
    <row r="2149" spans="18:31" ht="75" customHeight="1">
      <c r="R2149" s="1"/>
      <c r="S2149" s="1"/>
      <c r="AD2149" s="1"/>
      <c r="AE2149" s="1"/>
    </row>
    <row r="2150" spans="18:31" ht="75" customHeight="1">
      <c r="R2150" s="1"/>
      <c r="S2150" s="1"/>
      <c r="AD2150" s="1"/>
      <c r="AE2150" s="1"/>
    </row>
    <row r="2151" spans="18:31" ht="75" customHeight="1">
      <c r="R2151" s="1"/>
      <c r="S2151" s="1"/>
      <c r="AD2151" s="1"/>
      <c r="AE2151" s="1"/>
    </row>
    <row r="2152" spans="18:31" ht="75" customHeight="1">
      <c r="R2152" s="1"/>
      <c r="S2152" s="1"/>
      <c r="AD2152" s="1"/>
      <c r="AE2152" s="1"/>
    </row>
    <row r="2153" spans="18:31" ht="75" customHeight="1">
      <c r="R2153" s="1"/>
      <c r="S2153" s="1"/>
      <c r="AD2153" s="1"/>
      <c r="AE2153" s="1"/>
    </row>
    <row r="2154" spans="18:31" ht="75" customHeight="1">
      <c r="R2154" s="1"/>
      <c r="S2154" s="1"/>
      <c r="AD2154" s="1"/>
      <c r="AE2154" s="1"/>
    </row>
    <row r="2155" spans="18:31" ht="75" customHeight="1">
      <c r="R2155" s="1"/>
      <c r="S2155" s="1"/>
      <c r="AD2155" s="1"/>
      <c r="AE2155" s="1"/>
    </row>
    <row r="2156" spans="18:31" ht="75" customHeight="1">
      <c r="R2156" s="1"/>
      <c r="S2156" s="1"/>
      <c r="AD2156" s="1"/>
      <c r="AE2156" s="1"/>
    </row>
    <row r="2157" spans="18:31" ht="75" customHeight="1">
      <c r="R2157" s="1"/>
      <c r="S2157" s="1"/>
      <c r="AD2157" s="1"/>
      <c r="AE2157" s="1"/>
    </row>
    <row r="2158" spans="18:31" ht="75" customHeight="1">
      <c r="R2158" s="1"/>
      <c r="S2158" s="1"/>
      <c r="AD2158" s="1"/>
      <c r="AE2158" s="1"/>
    </row>
    <row r="2159" spans="18:31" ht="75" customHeight="1">
      <c r="R2159" s="1"/>
      <c r="S2159" s="1"/>
      <c r="AD2159" s="1"/>
      <c r="AE2159" s="1"/>
    </row>
    <row r="2160" spans="18:31" ht="75" customHeight="1">
      <c r="R2160" s="1"/>
      <c r="S2160" s="1"/>
      <c r="AD2160" s="1"/>
      <c r="AE2160" s="1"/>
    </row>
    <row r="2161" spans="18:31" ht="75" customHeight="1">
      <c r="R2161" s="1"/>
      <c r="S2161" s="1"/>
      <c r="AD2161" s="1"/>
      <c r="AE2161" s="1"/>
    </row>
    <row r="2162" spans="18:31" ht="75" customHeight="1">
      <c r="R2162" s="1"/>
      <c r="S2162" s="1"/>
      <c r="AD2162" s="1"/>
      <c r="AE2162" s="1"/>
    </row>
    <row r="2163" spans="18:31" ht="75" customHeight="1">
      <c r="R2163" s="1"/>
      <c r="S2163" s="1"/>
      <c r="AD2163" s="1"/>
      <c r="AE2163" s="1"/>
    </row>
    <row r="2164" spans="18:31" ht="75" customHeight="1">
      <c r="R2164" s="1"/>
      <c r="S2164" s="1"/>
      <c r="AD2164" s="1"/>
      <c r="AE2164" s="1"/>
    </row>
    <row r="2165" spans="18:31" ht="75" customHeight="1">
      <c r="R2165" s="1"/>
      <c r="S2165" s="1"/>
      <c r="AD2165" s="1"/>
      <c r="AE2165" s="1"/>
    </row>
    <row r="2166" spans="18:31" ht="75" customHeight="1">
      <c r="R2166" s="1"/>
      <c r="S2166" s="1"/>
      <c r="AD2166" s="1"/>
      <c r="AE2166" s="1"/>
    </row>
    <row r="2167" spans="18:31" ht="75" customHeight="1">
      <c r="R2167" s="1"/>
      <c r="S2167" s="1"/>
      <c r="AD2167" s="1"/>
      <c r="AE2167" s="1"/>
    </row>
    <row r="2168" spans="18:31" ht="75" customHeight="1">
      <c r="R2168" s="1"/>
      <c r="S2168" s="1"/>
      <c r="AD2168" s="1"/>
      <c r="AE2168" s="1"/>
    </row>
    <row r="2169" spans="18:31" ht="75" customHeight="1">
      <c r="R2169" s="1"/>
      <c r="S2169" s="1"/>
      <c r="AD2169" s="1"/>
      <c r="AE2169" s="1"/>
    </row>
    <row r="2170" spans="18:31" ht="75" customHeight="1">
      <c r="R2170" s="1"/>
      <c r="S2170" s="1"/>
      <c r="AD2170" s="1"/>
      <c r="AE2170" s="1"/>
    </row>
    <row r="2171" spans="18:31" ht="75" customHeight="1">
      <c r="R2171" s="1"/>
      <c r="S2171" s="1"/>
      <c r="AD2171" s="1"/>
      <c r="AE2171" s="1"/>
    </row>
    <row r="2172" spans="18:31" ht="75" customHeight="1">
      <c r="R2172" s="1"/>
      <c r="S2172" s="1"/>
      <c r="AD2172" s="1"/>
      <c r="AE2172" s="1"/>
    </row>
    <row r="2173" spans="18:31" ht="75" customHeight="1">
      <c r="R2173" s="1"/>
      <c r="S2173" s="1"/>
      <c r="AD2173" s="1"/>
      <c r="AE2173" s="1"/>
    </row>
    <row r="2174" spans="18:31" ht="75" customHeight="1">
      <c r="R2174" s="1"/>
      <c r="S2174" s="1"/>
      <c r="AD2174" s="1"/>
      <c r="AE2174" s="1"/>
    </row>
    <row r="2175" spans="18:31" ht="75" customHeight="1">
      <c r="R2175" s="1"/>
      <c r="S2175" s="1"/>
      <c r="AD2175" s="1"/>
      <c r="AE2175" s="1"/>
    </row>
    <row r="2176" spans="18:31" ht="75" customHeight="1">
      <c r="R2176" s="1"/>
      <c r="S2176" s="1"/>
      <c r="AD2176" s="1"/>
      <c r="AE2176" s="1"/>
    </row>
    <row r="2177" spans="18:31" ht="75" customHeight="1">
      <c r="R2177" s="1"/>
      <c r="S2177" s="1"/>
      <c r="AD2177" s="1"/>
      <c r="AE2177" s="1"/>
    </row>
    <row r="2178" spans="18:31" ht="75" customHeight="1">
      <c r="R2178" s="1"/>
      <c r="S2178" s="1"/>
      <c r="AD2178" s="1"/>
      <c r="AE2178" s="1"/>
    </row>
    <row r="2179" spans="18:31" ht="75" customHeight="1">
      <c r="R2179" s="1"/>
      <c r="S2179" s="1"/>
      <c r="AD2179" s="1"/>
      <c r="AE2179" s="1"/>
    </row>
    <row r="2180" spans="18:31" ht="75" customHeight="1">
      <c r="R2180" s="1"/>
      <c r="S2180" s="1"/>
      <c r="AD2180" s="1"/>
      <c r="AE2180" s="1"/>
    </row>
    <row r="2181" spans="18:31" ht="75" customHeight="1">
      <c r="R2181" s="1"/>
      <c r="S2181" s="1"/>
      <c r="AD2181" s="1"/>
      <c r="AE2181" s="1"/>
    </row>
    <row r="2182" spans="18:31" ht="75" customHeight="1">
      <c r="R2182" s="1"/>
      <c r="S2182" s="1"/>
      <c r="AD2182" s="1"/>
      <c r="AE2182" s="1"/>
    </row>
    <row r="2183" spans="18:31" ht="75" customHeight="1">
      <c r="R2183" s="1"/>
      <c r="S2183" s="1"/>
      <c r="AD2183" s="1"/>
      <c r="AE2183" s="1"/>
    </row>
    <row r="2184" spans="18:31" ht="75" customHeight="1">
      <c r="R2184" s="1"/>
      <c r="S2184" s="1"/>
      <c r="AD2184" s="1"/>
      <c r="AE2184" s="1"/>
    </row>
    <row r="2185" spans="18:31" ht="75" customHeight="1">
      <c r="R2185" s="1"/>
      <c r="S2185" s="1"/>
      <c r="AD2185" s="1"/>
      <c r="AE2185" s="1"/>
    </row>
    <row r="2186" spans="18:31" ht="75" customHeight="1">
      <c r="R2186" s="1"/>
      <c r="S2186" s="1"/>
      <c r="AD2186" s="1"/>
      <c r="AE2186" s="1"/>
    </row>
    <row r="2187" spans="18:31" ht="75" customHeight="1">
      <c r="R2187" s="1"/>
      <c r="S2187" s="1"/>
      <c r="AD2187" s="1"/>
      <c r="AE2187" s="1"/>
    </row>
    <row r="2188" spans="18:31" ht="75" customHeight="1">
      <c r="R2188" s="1"/>
      <c r="S2188" s="1"/>
      <c r="AD2188" s="1"/>
      <c r="AE2188" s="1"/>
    </row>
    <row r="2189" spans="18:31" ht="75" customHeight="1">
      <c r="R2189" s="1"/>
      <c r="S2189" s="1"/>
      <c r="AD2189" s="1"/>
      <c r="AE2189" s="1"/>
    </row>
    <row r="2190" spans="18:31" ht="75" customHeight="1">
      <c r="R2190" s="1"/>
      <c r="S2190" s="1"/>
      <c r="AD2190" s="1"/>
      <c r="AE2190" s="1"/>
    </row>
    <row r="2191" spans="18:31" ht="75" customHeight="1">
      <c r="R2191" s="1"/>
      <c r="S2191" s="1"/>
      <c r="AD2191" s="1"/>
      <c r="AE2191" s="1"/>
    </row>
    <row r="2192" spans="18:31" ht="75" customHeight="1">
      <c r="R2192" s="1"/>
      <c r="S2192" s="1"/>
      <c r="AD2192" s="1"/>
      <c r="AE2192" s="1"/>
    </row>
    <row r="2193" spans="18:31" ht="75" customHeight="1">
      <c r="R2193" s="1"/>
      <c r="S2193" s="1"/>
      <c r="AD2193" s="1"/>
      <c r="AE2193" s="1"/>
    </row>
    <row r="2194" spans="18:31" ht="75" customHeight="1">
      <c r="R2194" s="1"/>
      <c r="S2194" s="1"/>
      <c r="AD2194" s="1"/>
      <c r="AE2194" s="1"/>
    </row>
    <row r="2195" spans="18:31" ht="75" customHeight="1">
      <c r="R2195" s="1"/>
      <c r="S2195" s="1"/>
      <c r="AD2195" s="1"/>
      <c r="AE2195" s="1"/>
    </row>
    <row r="2196" spans="18:31" ht="75" customHeight="1">
      <c r="R2196" s="1"/>
      <c r="S2196" s="1"/>
      <c r="AD2196" s="1"/>
      <c r="AE2196" s="1"/>
    </row>
    <row r="2197" spans="18:31" ht="75" customHeight="1">
      <c r="R2197" s="1"/>
      <c r="S2197" s="1"/>
      <c r="AD2197" s="1"/>
      <c r="AE2197" s="1"/>
    </row>
    <row r="2198" spans="18:31" ht="75" customHeight="1">
      <c r="R2198" s="1"/>
      <c r="S2198" s="1"/>
      <c r="AD2198" s="1"/>
      <c r="AE2198" s="1"/>
    </row>
    <row r="2199" spans="18:31" ht="75" customHeight="1">
      <c r="R2199" s="1"/>
      <c r="S2199" s="1"/>
      <c r="AD2199" s="1"/>
      <c r="AE2199" s="1"/>
    </row>
    <row r="2200" spans="18:31" ht="75" customHeight="1">
      <c r="R2200" s="1"/>
      <c r="S2200" s="1"/>
      <c r="AD2200" s="1"/>
      <c r="AE2200" s="1"/>
    </row>
    <row r="2201" spans="18:31" ht="75" customHeight="1">
      <c r="R2201" s="1"/>
      <c r="S2201" s="1"/>
      <c r="AD2201" s="1"/>
      <c r="AE2201" s="1"/>
    </row>
    <row r="2202" spans="18:31" ht="75" customHeight="1">
      <c r="R2202" s="1"/>
      <c r="S2202" s="1"/>
      <c r="AD2202" s="1"/>
      <c r="AE2202" s="1"/>
    </row>
    <row r="2203" spans="18:31" ht="75" customHeight="1">
      <c r="R2203" s="1"/>
      <c r="S2203" s="1"/>
      <c r="AD2203" s="1"/>
      <c r="AE2203" s="1"/>
    </row>
    <row r="2204" spans="18:31" ht="75" customHeight="1">
      <c r="R2204" s="1"/>
      <c r="S2204" s="1"/>
      <c r="AD2204" s="1"/>
      <c r="AE2204" s="1"/>
    </row>
    <row r="2205" spans="18:31" ht="75" customHeight="1">
      <c r="R2205" s="1"/>
      <c r="S2205" s="1"/>
      <c r="AD2205" s="1"/>
      <c r="AE2205" s="1"/>
    </row>
    <row r="2206" spans="18:31" ht="75" customHeight="1">
      <c r="R2206" s="1"/>
      <c r="S2206" s="1"/>
      <c r="AD2206" s="1"/>
      <c r="AE2206" s="1"/>
    </row>
    <row r="2207" spans="18:31" ht="75" customHeight="1">
      <c r="R2207" s="1"/>
      <c r="S2207" s="1"/>
      <c r="AD2207" s="1"/>
      <c r="AE2207" s="1"/>
    </row>
    <row r="2208" spans="18:31" ht="75" customHeight="1">
      <c r="R2208" s="1"/>
      <c r="S2208" s="1"/>
      <c r="AD2208" s="1"/>
      <c r="AE2208" s="1"/>
    </row>
    <row r="2209" spans="18:31" ht="75" customHeight="1">
      <c r="R2209" s="1"/>
      <c r="S2209" s="1"/>
      <c r="AD2209" s="1"/>
      <c r="AE2209" s="1"/>
    </row>
    <row r="2210" spans="18:31" ht="75" customHeight="1">
      <c r="R2210" s="1"/>
      <c r="S2210" s="1"/>
      <c r="AD2210" s="1"/>
      <c r="AE2210" s="1"/>
    </row>
    <row r="2211" spans="18:31" ht="75" customHeight="1">
      <c r="R2211" s="1"/>
      <c r="S2211" s="1"/>
      <c r="AD2211" s="1"/>
      <c r="AE2211" s="1"/>
    </row>
    <row r="2212" spans="18:31" ht="75" customHeight="1">
      <c r="R2212" s="1"/>
      <c r="S2212" s="1"/>
      <c r="AD2212" s="1"/>
      <c r="AE2212" s="1"/>
    </row>
    <row r="2213" spans="18:31" ht="75" customHeight="1">
      <c r="R2213" s="1"/>
      <c r="S2213" s="1"/>
      <c r="AD2213" s="1"/>
      <c r="AE2213" s="1"/>
    </row>
    <row r="2214" spans="18:31" ht="75" customHeight="1">
      <c r="R2214" s="1"/>
      <c r="S2214" s="1"/>
      <c r="AD2214" s="1"/>
      <c r="AE2214" s="1"/>
    </row>
    <row r="2215" spans="18:31" ht="75" customHeight="1">
      <c r="R2215" s="1"/>
      <c r="S2215" s="1"/>
      <c r="AD2215" s="1"/>
      <c r="AE2215" s="1"/>
    </row>
    <row r="2216" spans="18:31" ht="75" customHeight="1">
      <c r="R2216" s="1"/>
      <c r="S2216" s="1"/>
      <c r="AD2216" s="1"/>
      <c r="AE2216" s="1"/>
    </row>
    <row r="2217" spans="18:31" ht="75" customHeight="1">
      <c r="R2217" s="1"/>
      <c r="S2217" s="1"/>
      <c r="AD2217" s="1"/>
      <c r="AE2217" s="1"/>
    </row>
    <row r="2218" spans="18:31" ht="75" customHeight="1">
      <c r="R2218" s="1"/>
      <c r="S2218" s="1"/>
      <c r="AD2218" s="1"/>
      <c r="AE2218" s="1"/>
    </row>
    <row r="2219" spans="18:31" ht="75" customHeight="1">
      <c r="R2219" s="1"/>
      <c r="S2219" s="1"/>
      <c r="AD2219" s="1"/>
      <c r="AE2219" s="1"/>
    </row>
    <row r="2220" spans="18:31" ht="75" customHeight="1">
      <c r="R2220" s="1"/>
      <c r="S2220" s="1"/>
      <c r="AD2220" s="1"/>
      <c r="AE2220" s="1"/>
    </row>
    <row r="2221" spans="18:31" ht="75" customHeight="1">
      <c r="R2221" s="1"/>
      <c r="S2221" s="1"/>
      <c r="AD2221" s="1"/>
      <c r="AE2221" s="1"/>
    </row>
    <row r="2222" spans="18:31" ht="75" customHeight="1">
      <c r="R2222" s="1"/>
      <c r="S2222" s="1"/>
      <c r="AD2222" s="1"/>
      <c r="AE2222" s="1"/>
    </row>
    <row r="2223" spans="18:31" ht="75" customHeight="1">
      <c r="R2223" s="1"/>
      <c r="S2223" s="1"/>
      <c r="AD2223" s="1"/>
      <c r="AE2223" s="1"/>
    </row>
    <row r="2224" spans="18:31" ht="75" customHeight="1">
      <c r="R2224" s="1"/>
      <c r="S2224" s="1"/>
      <c r="AD2224" s="1"/>
      <c r="AE2224" s="1"/>
    </row>
    <row r="2225" spans="18:31" ht="75" customHeight="1">
      <c r="R2225" s="1"/>
      <c r="S2225" s="1"/>
      <c r="AD2225" s="1"/>
      <c r="AE2225" s="1"/>
    </row>
    <row r="2226" spans="18:31" ht="75" customHeight="1">
      <c r="R2226" s="1"/>
      <c r="S2226" s="1"/>
      <c r="AD2226" s="1"/>
      <c r="AE2226" s="1"/>
    </row>
    <row r="2227" spans="18:31" ht="75" customHeight="1">
      <c r="R2227" s="1"/>
      <c r="S2227" s="1"/>
      <c r="AD2227" s="1"/>
      <c r="AE2227" s="1"/>
    </row>
    <row r="2228" spans="18:31" ht="75" customHeight="1">
      <c r="R2228" s="1"/>
      <c r="S2228" s="1"/>
      <c r="AD2228" s="1"/>
      <c r="AE2228" s="1"/>
    </row>
    <row r="2229" spans="18:31" ht="75" customHeight="1">
      <c r="R2229" s="1"/>
      <c r="S2229" s="1"/>
      <c r="AD2229" s="1"/>
      <c r="AE2229" s="1"/>
    </row>
    <row r="2230" spans="18:31" ht="75" customHeight="1">
      <c r="R2230" s="1"/>
      <c r="S2230" s="1"/>
      <c r="AD2230" s="1"/>
      <c r="AE2230" s="1"/>
    </row>
    <row r="2231" spans="18:31" ht="75" customHeight="1">
      <c r="R2231" s="1"/>
      <c r="S2231" s="1"/>
      <c r="AD2231" s="1"/>
      <c r="AE2231" s="1"/>
    </row>
    <row r="2232" spans="18:31" ht="75" customHeight="1">
      <c r="R2232" s="1"/>
      <c r="S2232" s="1"/>
      <c r="AD2232" s="1"/>
      <c r="AE2232" s="1"/>
    </row>
    <row r="2233" spans="18:31" ht="75" customHeight="1">
      <c r="R2233" s="1"/>
      <c r="S2233" s="1"/>
      <c r="AD2233" s="1"/>
      <c r="AE2233" s="1"/>
    </row>
    <row r="2234" spans="18:31" ht="75" customHeight="1">
      <c r="R2234" s="1"/>
      <c r="S2234" s="1"/>
      <c r="AD2234" s="1"/>
      <c r="AE2234" s="1"/>
    </row>
    <row r="2235" spans="18:31" ht="75" customHeight="1">
      <c r="R2235" s="1"/>
      <c r="S2235" s="1"/>
      <c r="AD2235" s="1"/>
      <c r="AE2235" s="1"/>
    </row>
    <row r="2236" spans="18:31" ht="75" customHeight="1">
      <c r="R2236" s="1"/>
      <c r="S2236" s="1"/>
      <c r="AD2236" s="1"/>
      <c r="AE2236" s="1"/>
    </row>
    <row r="2237" spans="18:31" ht="75" customHeight="1">
      <c r="R2237" s="1"/>
      <c r="S2237" s="1"/>
      <c r="AD2237" s="1"/>
      <c r="AE2237" s="1"/>
    </row>
    <row r="2238" spans="18:31" ht="75" customHeight="1">
      <c r="R2238" s="1"/>
      <c r="S2238" s="1"/>
      <c r="AD2238" s="1"/>
      <c r="AE2238" s="1"/>
    </row>
    <row r="2239" spans="18:31" ht="75" customHeight="1">
      <c r="R2239" s="1"/>
      <c r="S2239" s="1"/>
      <c r="AD2239" s="1"/>
      <c r="AE2239" s="1"/>
    </row>
    <row r="2240" spans="18:31" ht="75" customHeight="1">
      <c r="R2240" s="1"/>
      <c r="S2240" s="1"/>
      <c r="AD2240" s="1"/>
      <c r="AE2240" s="1"/>
    </row>
    <row r="2241" spans="18:31" ht="75" customHeight="1">
      <c r="R2241" s="1"/>
      <c r="S2241" s="1"/>
      <c r="AD2241" s="1"/>
      <c r="AE2241" s="1"/>
    </row>
    <row r="2242" spans="18:31" ht="75" customHeight="1">
      <c r="R2242" s="1"/>
      <c r="S2242" s="1"/>
      <c r="AD2242" s="1"/>
      <c r="AE2242" s="1"/>
    </row>
    <row r="2243" spans="18:31" ht="75" customHeight="1">
      <c r="R2243" s="1"/>
      <c r="S2243" s="1"/>
      <c r="AD2243" s="1"/>
      <c r="AE2243" s="1"/>
    </row>
    <row r="2244" spans="18:31" ht="75" customHeight="1">
      <c r="R2244" s="1"/>
      <c r="S2244" s="1"/>
      <c r="AD2244" s="1"/>
      <c r="AE2244" s="1"/>
    </row>
    <row r="2245" spans="18:31" ht="75" customHeight="1">
      <c r="R2245" s="1"/>
      <c r="S2245" s="1"/>
      <c r="AD2245" s="1"/>
      <c r="AE2245" s="1"/>
    </row>
    <row r="2246" spans="18:31" ht="75" customHeight="1">
      <c r="R2246" s="1"/>
      <c r="S2246" s="1"/>
      <c r="AD2246" s="1"/>
      <c r="AE2246" s="1"/>
    </row>
    <row r="2247" spans="18:31" ht="75" customHeight="1">
      <c r="R2247" s="1"/>
      <c r="S2247" s="1"/>
      <c r="AD2247" s="1"/>
      <c r="AE2247" s="1"/>
    </row>
    <row r="2248" spans="18:31" ht="75" customHeight="1">
      <c r="R2248" s="1"/>
      <c r="S2248" s="1"/>
      <c r="AD2248" s="1"/>
      <c r="AE2248" s="1"/>
    </row>
    <row r="2249" spans="18:31" ht="75" customHeight="1">
      <c r="R2249" s="1"/>
      <c r="S2249" s="1"/>
      <c r="AD2249" s="1"/>
      <c r="AE2249" s="1"/>
    </row>
    <row r="2250" spans="18:31" ht="75" customHeight="1">
      <c r="R2250" s="1"/>
      <c r="S2250" s="1"/>
      <c r="AD2250" s="1"/>
      <c r="AE2250" s="1"/>
    </row>
    <row r="2251" spans="18:31" ht="75" customHeight="1">
      <c r="R2251" s="1"/>
      <c r="S2251" s="1"/>
      <c r="AD2251" s="1"/>
      <c r="AE2251" s="1"/>
    </row>
    <row r="2252" spans="18:31" ht="75" customHeight="1">
      <c r="R2252" s="1"/>
      <c r="S2252" s="1"/>
      <c r="AD2252" s="1"/>
      <c r="AE2252" s="1"/>
    </row>
    <row r="2253" spans="18:31" ht="75" customHeight="1">
      <c r="R2253" s="1"/>
      <c r="S2253" s="1"/>
      <c r="AD2253" s="1"/>
      <c r="AE2253" s="1"/>
    </row>
    <row r="2254" spans="18:31" ht="75" customHeight="1">
      <c r="R2254" s="1"/>
      <c r="S2254" s="1"/>
      <c r="AD2254" s="1"/>
      <c r="AE2254" s="1"/>
    </row>
    <row r="2255" spans="18:31" ht="75" customHeight="1">
      <c r="R2255" s="1"/>
      <c r="S2255" s="1"/>
      <c r="AD2255" s="1"/>
      <c r="AE2255" s="1"/>
    </row>
    <row r="2256" spans="18:31" ht="75" customHeight="1">
      <c r="R2256" s="1"/>
      <c r="S2256" s="1"/>
      <c r="AD2256" s="1"/>
      <c r="AE2256" s="1"/>
    </row>
    <row r="2257" spans="18:31" ht="75" customHeight="1">
      <c r="R2257" s="1"/>
      <c r="S2257" s="1"/>
      <c r="AD2257" s="1"/>
      <c r="AE2257" s="1"/>
    </row>
    <row r="2258" spans="18:31" ht="75" customHeight="1">
      <c r="R2258" s="1"/>
      <c r="S2258" s="1"/>
      <c r="AD2258" s="1"/>
      <c r="AE2258" s="1"/>
    </row>
    <row r="2259" spans="18:31" ht="75" customHeight="1">
      <c r="R2259" s="1"/>
      <c r="S2259" s="1"/>
      <c r="AD2259" s="1"/>
      <c r="AE2259" s="1"/>
    </row>
    <row r="2260" spans="18:31" ht="75" customHeight="1">
      <c r="R2260" s="1"/>
      <c r="S2260" s="1"/>
      <c r="AD2260" s="1"/>
      <c r="AE2260" s="1"/>
    </row>
    <row r="2261" spans="18:31" ht="75" customHeight="1">
      <c r="R2261" s="1"/>
      <c r="S2261" s="1"/>
      <c r="AD2261" s="1"/>
      <c r="AE2261" s="1"/>
    </row>
    <row r="2262" spans="18:31" ht="75" customHeight="1">
      <c r="R2262" s="1"/>
      <c r="S2262" s="1"/>
      <c r="AD2262" s="1"/>
      <c r="AE2262" s="1"/>
    </row>
    <row r="2263" spans="18:31" ht="75" customHeight="1">
      <c r="R2263" s="1"/>
      <c r="S2263" s="1"/>
      <c r="AD2263" s="1"/>
      <c r="AE2263" s="1"/>
    </row>
    <row r="2264" spans="18:31" ht="75" customHeight="1">
      <c r="R2264" s="1"/>
      <c r="S2264" s="1"/>
      <c r="AD2264" s="1"/>
      <c r="AE2264" s="1"/>
    </row>
    <row r="2265" spans="18:31" ht="75" customHeight="1">
      <c r="R2265" s="1"/>
      <c r="S2265" s="1"/>
      <c r="AD2265" s="1"/>
      <c r="AE2265" s="1"/>
    </row>
    <row r="2266" spans="18:31" ht="75" customHeight="1">
      <c r="R2266" s="1"/>
      <c r="S2266" s="1"/>
      <c r="AD2266" s="1"/>
      <c r="AE2266" s="1"/>
    </row>
    <row r="2267" spans="18:31" ht="75" customHeight="1">
      <c r="R2267" s="1"/>
      <c r="S2267" s="1"/>
      <c r="AD2267" s="1"/>
      <c r="AE2267" s="1"/>
    </row>
    <row r="2268" spans="18:31" ht="75" customHeight="1">
      <c r="R2268" s="1"/>
      <c r="S2268" s="1"/>
      <c r="AD2268" s="1"/>
      <c r="AE2268" s="1"/>
    </row>
    <row r="2269" spans="18:31" ht="75" customHeight="1">
      <c r="R2269" s="1"/>
      <c r="S2269" s="1"/>
      <c r="AD2269" s="1"/>
      <c r="AE2269" s="1"/>
    </row>
    <row r="2270" spans="18:31" ht="75" customHeight="1">
      <c r="R2270" s="1"/>
      <c r="S2270" s="1"/>
      <c r="AD2270" s="1"/>
      <c r="AE2270" s="1"/>
    </row>
    <row r="2271" spans="18:31" ht="75" customHeight="1">
      <c r="R2271" s="1"/>
      <c r="S2271" s="1"/>
      <c r="AD2271" s="1"/>
      <c r="AE2271" s="1"/>
    </row>
    <row r="2272" spans="18:31" ht="75" customHeight="1">
      <c r="R2272" s="1"/>
      <c r="S2272" s="1"/>
      <c r="AD2272" s="1"/>
      <c r="AE2272" s="1"/>
    </row>
    <row r="2273" spans="18:31" ht="75" customHeight="1">
      <c r="R2273" s="1"/>
      <c r="S2273" s="1"/>
      <c r="AD2273" s="1"/>
      <c r="AE2273" s="1"/>
    </row>
    <row r="2274" spans="18:31" ht="75" customHeight="1">
      <c r="R2274" s="1"/>
      <c r="S2274" s="1"/>
      <c r="AD2274" s="1"/>
      <c r="AE2274" s="1"/>
    </row>
    <row r="2275" spans="18:31" ht="75" customHeight="1">
      <c r="R2275" s="1"/>
      <c r="S2275" s="1"/>
      <c r="AD2275" s="1"/>
      <c r="AE2275" s="1"/>
    </row>
    <row r="2276" spans="18:31" ht="75" customHeight="1">
      <c r="R2276" s="1"/>
      <c r="S2276" s="1"/>
      <c r="AD2276" s="1"/>
      <c r="AE2276" s="1"/>
    </row>
    <row r="2277" spans="18:31" ht="75" customHeight="1">
      <c r="R2277" s="1"/>
      <c r="S2277" s="1"/>
      <c r="AD2277" s="1"/>
      <c r="AE2277" s="1"/>
    </row>
    <row r="2278" spans="18:31" ht="75" customHeight="1">
      <c r="R2278" s="1"/>
      <c r="S2278" s="1"/>
      <c r="AD2278" s="1"/>
      <c r="AE2278" s="1"/>
    </row>
    <row r="2279" spans="18:31" ht="75" customHeight="1">
      <c r="R2279" s="1"/>
      <c r="S2279" s="1"/>
      <c r="AD2279" s="1"/>
      <c r="AE2279" s="1"/>
    </row>
    <row r="2280" spans="18:31" ht="75" customHeight="1">
      <c r="R2280" s="1"/>
      <c r="S2280" s="1"/>
      <c r="AD2280" s="1"/>
      <c r="AE2280" s="1"/>
    </row>
    <row r="2281" spans="18:31" ht="75" customHeight="1">
      <c r="R2281" s="1"/>
      <c r="S2281" s="1"/>
      <c r="AD2281" s="1"/>
      <c r="AE2281" s="1"/>
    </row>
    <row r="2282" spans="18:31" ht="75" customHeight="1">
      <c r="R2282" s="1"/>
      <c r="S2282" s="1"/>
      <c r="AD2282" s="1"/>
      <c r="AE2282" s="1"/>
    </row>
    <row r="2283" spans="18:31" ht="75" customHeight="1">
      <c r="R2283" s="1"/>
      <c r="S2283" s="1"/>
      <c r="AD2283" s="1"/>
      <c r="AE2283" s="1"/>
    </row>
    <row r="2284" spans="18:31" ht="75" customHeight="1">
      <c r="R2284" s="1"/>
      <c r="S2284" s="1"/>
      <c r="AD2284" s="1"/>
      <c r="AE2284" s="1"/>
    </row>
    <row r="2285" spans="18:31" ht="75" customHeight="1">
      <c r="R2285" s="1"/>
      <c r="S2285" s="1"/>
      <c r="AD2285" s="1"/>
      <c r="AE2285" s="1"/>
    </row>
    <row r="2286" spans="18:31" ht="75" customHeight="1">
      <c r="R2286" s="1"/>
      <c r="S2286" s="1"/>
      <c r="AD2286" s="1"/>
      <c r="AE2286" s="1"/>
    </row>
    <row r="2287" spans="18:31" ht="75" customHeight="1">
      <c r="R2287" s="1"/>
      <c r="S2287" s="1"/>
      <c r="AD2287" s="1"/>
      <c r="AE2287" s="1"/>
    </row>
    <row r="2288" spans="18:31" ht="75" customHeight="1">
      <c r="R2288" s="1"/>
      <c r="S2288" s="1"/>
      <c r="AD2288" s="1"/>
      <c r="AE2288" s="1"/>
    </row>
    <row r="2289" spans="18:31" ht="75" customHeight="1">
      <c r="R2289" s="1"/>
      <c r="S2289" s="1"/>
      <c r="AD2289" s="1"/>
      <c r="AE2289" s="1"/>
    </row>
    <row r="2290" spans="18:31" ht="75" customHeight="1">
      <c r="R2290" s="1"/>
      <c r="S2290" s="1"/>
      <c r="AD2290" s="1"/>
      <c r="AE2290" s="1"/>
    </row>
    <row r="2291" spans="18:31" ht="75" customHeight="1">
      <c r="R2291" s="1"/>
      <c r="S2291" s="1"/>
      <c r="AD2291" s="1"/>
      <c r="AE2291" s="1"/>
    </row>
    <row r="2292" spans="18:31" ht="75" customHeight="1">
      <c r="R2292" s="1"/>
      <c r="S2292" s="1"/>
      <c r="AD2292" s="1"/>
      <c r="AE2292" s="1"/>
    </row>
    <row r="2293" spans="18:31" ht="75" customHeight="1">
      <c r="R2293" s="1"/>
      <c r="S2293" s="1"/>
      <c r="AD2293" s="1"/>
      <c r="AE2293" s="1"/>
    </row>
    <row r="2294" spans="18:31" ht="75" customHeight="1">
      <c r="R2294" s="1"/>
      <c r="S2294" s="1"/>
      <c r="AD2294" s="1"/>
      <c r="AE2294" s="1"/>
    </row>
    <row r="2295" spans="18:31" ht="75" customHeight="1">
      <c r="R2295" s="1"/>
      <c r="S2295" s="1"/>
      <c r="AD2295" s="1"/>
      <c r="AE2295" s="1"/>
    </row>
    <row r="2296" spans="18:31" ht="75" customHeight="1">
      <c r="R2296" s="1"/>
      <c r="S2296" s="1"/>
      <c r="AD2296" s="1"/>
      <c r="AE2296" s="1"/>
    </row>
    <row r="2297" spans="18:31" ht="75" customHeight="1">
      <c r="R2297" s="1"/>
      <c r="S2297" s="1"/>
      <c r="AD2297" s="1"/>
      <c r="AE2297" s="1"/>
    </row>
    <row r="2298" spans="18:31" ht="75" customHeight="1">
      <c r="R2298" s="1"/>
      <c r="S2298" s="1"/>
      <c r="AD2298" s="1"/>
      <c r="AE2298" s="1"/>
    </row>
    <row r="2299" spans="18:31" ht="75" customHeight="1">
      <c r="R2299" s="1"/>
      <c r="S2299" s="1"/>
      <c r="AD2299" s="1"/>
      <c r="AE2299" s="1"/>
    </row>
    <row r="2300" spans="18:31" ht="75" customHeight="1">
      <c r="R2300" s="1"/>
      <c r="S2300" s="1"/>
      <c r="AD2300" s="1"/>
      <c r="AE2300" s="1"/>
    </row>
    <row r="2301" spans="18:31" ht="75" customHeight="1">
      <c r="R2301" s="1"/>
      <c r="S2301" s="1"/>
      <c r="AD2301" s="1"/>
      <c r="AE2301" s="1"/>
    </row>
    <row r="2302" spans="18:31" ht="75" customHeight="1">
      <c r="R2302" s="1"/>
      <c r="S2302" s="1"/>
      <c r="AD2302" s="1"/>
      <c r="AE2302" s="1"/>
    </row>
    <row r="2303" spans="18:31" ht="75" customHeight="1">
      <c r="R2303" s="1"/>
      <c r="S2303" s="1"/>
      <c r="AD2303" s="1"/>
      <c r="AE2303" s="1"/>
    </row>
    <row r="2304" spans="18:31" ht="75" customHeight="1">
      <c r="R2304" s="1"/>
      <c r="S2304" s="1"/>
      <c r="AD2304" s="1"/>
      <c r="AE2304" s="1"/>
    </row>
    <row r="2305" spans="18:31" ht="75" customHeight="1">
      <c r="R2305" s="1"/>
      <c r="S2305" s="1"/>
      <c r="AD2305" s="1"/>
      <c r="AE2305" s="1"/>
    </row>
    <row r="2306" spans="18:31" ht="75" customHeight="1">
      <c r="R2306" s="1"/>
      <c r="S2306" s="1"/>
      <c r="AD2306" s="1"/>
      <c r="AE2306" s="1"/>
    </row>
    <row r="2307" spans="18:31" ht="75" customHeight="1">
      <c r="R2307" s="1"/>
      <c r="S2307" s="1"/>
      <c r="AD2307" s="1"/>
      <c r="AE2307" s="1"/>
    </row>
    <row r="2308" spans="18:31" ht="75" customHeight="1">
      <c r="R2308" s="1"/>
      <c r="S2308" s="1"/>
      <c r="AD2308" s="1"/>
      <c r="AE2308" s="1"/>
    </row>
    <row r="2309" spans="18:31" ht="75" customHeight="1">
      <c r="R2309" s="1"/>
      <c r="S2309" s="1"/>
      <c r="AD2309" s="1"/>
      <c r="AE2309" s="1"/>
    </row>
    <row r="2310" spans="18:31" ht="75" customHeight="1">
      <c r="R2310" s="1"/>
      <c r="S2310" s="1"/>
      <c r="AD2310" s="1"/>
      <c r="AE2310" s="1"/>
    </row>
    <row r="2311" spans="18:31" ht="75" customHeight="1">
      <c r="R2311" s="1"/>
      <c r="S2311" s="1"/>
      <c r="AD2311" s="1"/>
      <c r="AE2311" s="1"/>
    </row>
    <row r="2312" spans="18:31" ht="75" customHeight="1">
      <c r="R2312" s="1"/>
      <c r="S2312" s="1"/>
      <c r="AD2312" s="1"/>
      <c r="AE2312" s="1"/>
    </row>
    <row r="2313" spans="18:31" ht="75" customHeight="1">
      <c r="R2313" s="1"/>
      <c r="S2313" s="1"/>
      <c r="AD2313" s="1"/>
      <c r="AE2313" s="1"/>
    </row>
    <row r="2314" spans="18:31" ht="75" customHeight="1">
      <c r="R2314" s="1"/>
      <c r="S2314" s="1"/>
      <c r="AD2314" s="1"/>
      <c r="AE2314" s="1"/>
    </row>
    <row r="2315" spans="18:31" ht="75" customHeight="1">
      <c r="R2315" s="1"/>
      <c r="S2315" s="1"/>
      <c r="AD2315" s="1"/>
      <c r="AE2315" s="1"/>
    </row>
    <row r="2316" spans="18:31" ht="75" customHeight="1">
      <c r="R2316" s="1"/>
      <c r="S2316" s="1"/>
      <c r="AD2316" s="1"/>
      <c r="AE2316" s="1"/>
    </row>
    <row r="2317" spans="18:31" ht="75" customHeight="1">
      <c r="R2317" s="1"/>
      <c r="S2317" s="1"/>
      <c r="AD2317" s="1"/>
      <c r="AE2317" s="1"/>
    </row>
    <row r="2318" spans="18:31" ht="75" customHeight="1">
      <c r="R2318" s="1"/>
      <c r="S2318" s="1"/>
      <c r="AD2318" s="1"/>
      <c r="AE2318" s="1"/>
    </row>
    <row r="2319" spans="18:31" ht="75" customHeight="1">
      <c r="R2319" s="1"/>
      <c r="S2319" s="1"/>
      <c r="AD2319" s="1"/>
      <c r="AE2319" s="1"/>
    </row>
    <row r="2320" spans="18:31" ht="75" customHeight="1">
      <c r="R2320" s="1"/>
      <c r="S2320" s="1"/>
      <c r="AD2320" s="1"/>
      <c r="AE2320" s="1"/>
    </row>
    <row r="2321" spans="18:31" ht="75" customHeight="1">
      <c r="R2321" s="1"/>
      <c r="S2321" s="1"/>
      <c r="AD2321" s="1"/>
      <c r="AE2321" s="1"/>
    </row>
    <row r="2322" spans="18:31" ht="75" customHeight="1">
      <c r="R2322" s="1"/>
      <c r="S2322" s="1"/>
      <c r="AD2322" s="1"/>
      <c r="AE2322" s="1"/>
    </row>
    <row r="2323" spans="18:31" ht="75" customHeight="1">
      <c r="R2323" s="1"/>
      <c r="S2323" s="1"/>
      <c r="AD2323" s="1"/>
      <c r="AE2323" s="1"/>
    </row>
    <row r="2324" spans="18:31" ht="75" customHeight="1">
      <c r="R2324" s="1"/>
      <c r="S2324" s="1"/>
      <c r="AD2324" s="1"/>
      <c r="AE2324" s="1"/>
    </row>
    <row r="2325" spans="18:31" ht="75" customHeight="1">
      <c r="R2325" s="1"/>
      <c r="S2325" s="1"/>
      <c r="AD2325" s="1"/>
      <c r="AE2325" s="1"/>
    </row>
    <row r="2326" spans="18:31" ht="75" customHeight="1">
      <c r="R2326" s="1"/>
      <c r="S2326" s="1"/>
      <c r="AD2326" s="1"/>
      <c r="AE2326" s="1"/>
    </row>
    <row r="2327" spans="18:31" ht="75" customHeight="1">
      <c r="R2327" s="1"/>
      <c r="S2327" s="1"/>
      <c r="AD2327" s="1"/>
      <c r="AE2327" s="1"/>
    </row>
    <row r="2328" spans="18:31" ht="75" customHeight="1">
      <c r="R2328" s="1"/>
      <c r="S2328" s="1"/>
      <c r="AD2328" s="1"/>
      <c r="AE2328" s="1"/>
    </row>
    <row r="2329" spans="18:31" ht="75" customHeight="1">
      <c r="R2329" s="1"/>
      <c r="S2329" s="1"/>
      <c r="AD2329" s="1"/>
      <c r="AE2329" s="1"/>
    </row>
    <row r="2330" spans="18:31" ht="75" customHeight="1">
      <c r="R2330" s="1"/>
      <c r="S2330" s="1"/>
      <c r="AD2330" s="1"/>
      <c r="AE2330" s="1"/>
    </row>
    <row r="2331" spans="18:31" ht="75" customHeight="1">
      <c r="R2331" s="1"/>
      <c r="S2331" s="1"/>
      <c r="AD2331" s="1"/>
      <c r="AE2331" s="1"/>
    </row>
    <row r="2332" spans="18:31" ht="75" customHeight="1">
      <c r="R2332" s="1"/>
      <c r="S2332" s="1"/>
      <c r="AD2332" s="1"/>
      <c r="AE2332" s="1"/>
    </row>
    <row r="2333" spans="18:31" ht="75" customHeight="1">
      <c r="R2333" s="1"/>
      <c r="S2333" s="1"/>
      <c r="AD2333" s="1"/>
      <c r="AE2333" s="1"/>
    </row>
    <row r="2334" spans="18:31" ht="75" customHeight="1">
      <c r="R2334" s="1"/>
      <c r="S2334" s="1"/>
      <c r="AD2334" s="1"/>
      <c r="AE2334" s="1"/>
    </row>
    <row r="2335" spans="18:31" ht="75" customHeight="1">
      <c r="R2335" s="1"/>
      <c r="S2335" s="1"/>
      <c r="AD2335" s="1"/>
      <c r="AE2335" s="1"/>
    </row>
    <row r="2336" spans="18:31" ht="75" customHeight="1">
      <c r="R2336" s="1"/>
      <c r="S2336" s="1"/>
      <c r="AD2336" s="1"/>
      <c r="AE2336" s="1"/>
    </row>
    <row r="2337" spans="18:31" ht="75" customHeight="1">
      <c r="R2337" s="1"/>
      <c r="S2337" s="1"/>
      <c r="AD2337" s="1"/>
      <c r="AE2337" s="1"/>
    </row>
    <row r="2338" spans="18:31" ht="75" customHeight="1">
      <c r="R2338" s="1"/>
      <c r="S2338" s="1"/>
      <c r="AD2338" s="1"/>
      <c r="AE2338" s="1"/>
    </row>
    <row r="2339" spans="18:31" ht="75" customHeight="1">
      <c r="R2339" s="1"/>
      <c r="S2339" s="1"/>
      <c r="AD2339" s="1"/>
      <c r="AE2339" s="1"/>
    </row>
    <row r="2340" spans="18:31" ht="75" customHeight="1">
      <c r="R2340" s="1"/>
      <c r="S2340" s="1"/>
      <c r="AD2340" s="1"/>
      <c r="AE2340" s="1"/>
    </row>
    <row r="2341" spans="18:31" ht="75" customHeight="1">
      <c r="R2341" s="1"/>
      <c r="S2341" s="1"/>
      <c r="AD2341" s="1"/>
      <c r="AE2341" s="1"/>
    </row>
    <row r="2342" spans="18:31" ht="75" customHeight="1">
      <c r="R2342" s="1"/>
      <c r="S2342" s="1"/>
      <c r="AD2342" s="1"/>
      <c r="AE2342" s="1"/>
    </row>
    <row r="2343" spans="18:31" ht="75" customHeight="1">
      <c r="R2343" s="1"/>
      <c r="S2343" s="1"/>
      <c r="AD2343" s="1"/>
      <c r="AE2343" s="1"/>
    </row>
    <row r="2344" spans="18:31" ht="75" customHeight="1">
      <c r="R2344" s="1"/>
      <c r="S2344" s="1"/>
      <c r="AD2344" s="1"/>
      <c r="AE2344" s="1"/>
    </row>
    <row r="2345" spans="18:31" ht="75" customHeight="1">
      <c r="R2345" s="1"/>
      <c r="S2345" s="1"/>
      <c r="AD2345" s="1"/>
      <c r="AE2345" s="1"/>
    </row>
    <row r="2346" spans="18:31" ht="75" customHeight="1">
      <c r="R2346" s="1"/>
      <c r="S2346" s="1"/>
      <c r="AD2346" s="1"/>
      <c r="AE2346" s="1"/>
    </row>
    <row r="2347" spans="18:31" ht="75" customHeight="1">
      <c r="R2347" s="1"/>
      <c r="S2347" s="1"/>
      <c r="AD2347" s="1"/>
      <c r="AE2347" s="1"/>
    </row>
    <row r="2348" spans="18:31" ht="75" customHeight="1">
      <c r="R2348" s="1"/>
      <c r="S2348" s="1"/>
      <c r="AD2348" s="1"/>
      <c r="AE2348" s="1"/>
    </row>
    <row r="2349" spans="18:31" ht="75" customHeight="1">
      <c r="R2349" s="1"/>
      <c r="S2349" s="1"/>
      <c r="AD2349" s="1"/>
      <c r="AE2349" s="1"/>
    </row>
    <row r="2350" spans="18:31" ht="75" customHeight="1">
      <c r="R2350" s="1"/>
      <c r="S2350" s="1"/>
      <c r="AD2350" s="1"/>
      <c r="AE2350" s="1"/>
    </row>
    <row r="2351" spans="18:31" ht="75" customHeight="1">
      <c r="R2351" s="1"/>
      <c r="S2351" s="1"/>
      <c r="AD2351" s="1"/>
      <c r="AE2351" s="1"/>
    </row>
    <row r="2352" spans="18:31" ht="75" customHeight="1">
      <c r="R2352" s="1"/>
      <c r="S2352" s="1"/>
      <c r="AD2352" s="1"/>
      <c r="AE2352" s="1"/>
    </row>
    <row r="2353" spans="18:31" ht="75" customHeight="1">
      <c r="R2353" s="1"/>
      <c r="S2353" s="1"/>
      <c r="AD2353" s="1"/>
      <c r="AE2353" s="1"/>
    </row>
    <row r="2354" spans="18:31" ht="75" customHeight="1">
      <c r="R2354" s="1"/>
      <c r="S2354" s="1"/>
      <c r="AD2354" s="1"/>
      <c r="AE2354" s="1"/>
    </row>
    <row r="2355" spans="18:31" ht="75" customHeight="1">
      <c r="R2355" s="1"/>
      <c r="S2355" s="1"/>
      <c r="AD2355" s="1"/>
      <c r="AE2355" s="1"/>
    </row>
    <row r="2356" spans="18:31" ht="75" customHeight="1">
      <c r="R2356" s="1"/>
      <c r="S2356" s="1"/>
      <c r="AD2356" s="1"/>
      <c r="AE2356" s="1"/>
    </row>
    <row r="2357" spans="18:31" ht="75" customHeight="1">
      <c r="R2357" s="1"/>
      <c r="S2357" s="1"/>
      <c r="AD2357" s="1"/>
      <c r="AE2357" s="1"/>
    </row>
    <row r="2358" spans="18:31" ht="75" customHeight="1">
      <c r="R2358" s="1"/>
      <c r="S2358" s="1"/>
      <c r="AD2358" s="1"/>
      <c r="AE2358" s="1"/>
    </row>
    <row r="2359" spans="18:31" ht="75" customHeight="1">
      <c r="R2359" s="1"/>
      <c r="S2359" s="1"/>
      <c r="AD2359" s="1"/>
      <c r="AE2359" s="1"/>
    </row>
    <row r="2360" spans="18:31" ht="75" customHeight="1">
      <c r="R2360" s="1"/>
      <c r="S2360" s="1"/>
      <c r="AD2360" s="1"/>
      <c r="AE2360" s="1"/>
    </row>
    <row r="2361" spans="18:31" ht="75" customHeight="1">
      <c r="R2361" s="1"/>
      <c r="S2361" s="1"/>
      <c r="AD2361" s="1"/>
      <c r="AE2361" s="1"/>
    </row>
    <row r="2362" spans="18:31" ht="75" customHeight="1">
      <c r="R2362" s="1"/>
      <c r="S2362" s="1"/>
      <c r="AD2362" s="1"/>
      <c r="AE2362" s="1"/>
    </row>
    <row r="2363" spans="18:31" ht="75" customHeight="1">
      <c r="R2363" s="1"/>
      <c r="S2363" s="1"/>
      <c r="AD2363" s="1"/>
      <c r="AE2363" s="1"/>
    </row>
    <row r="2364" spans="18:31" ht="75" customHeight="1">
      <c r="R2364" s="1"/>
      <c r="S2364" s="1"/>
      <c r="AD2364" s="1"/>
      <c r="AE2364" s="1"/>
    </row>
    <row r="2365" spans="18:31" ht="75" customHeight="1">
      <c r="R2365" s="1"/>
      <c r="S2365" s="1"/>
      <c r="AD2365" s="1"/>
      <c r="AE2365" s="1"/>
    </row>
    <row r="2366" spans="18:31" ht="75" customHeight="1">
      <c r="R2366" s="1"/>
      <c r="S2366" s="1"/>
      <c r="AD2366" s="1"/>
      <c r="AE2366" s="1"/>
    </row>
    <row r="2367" spans="18:31" ht="75" customHeight="1">
      <c r="R2367" s="1"/>
      <c r="S2367" s="1"/>
      <c r="AD2367" s="1"/>
      <c r="AE2367" s="1"/>
    </row>
    <row r="2368" spans="18:31" ht="75" customHeight="1">
      <c r="R2368" s="1"/>
      <c r="S2368" s="1"/>
      <c r="AD2368" s="1"/>
      <c r="AE2368" s="1"/>
    </row>
    <row r="2369" spans="18:31" ht="75" customHeight="1">
      <c r="R2369" s="1"/>
      <c r="S2369" s="1"/>
      <c r="AD2369" s="1"/>
      <c r="AE2369" s="1"/>
    </row>
    <row r="2370" spans="18:31" ht="75" customHeight="1">
      <c r="R2370" s="1"/>
      <c r="S2370" s="1"/>
      <c r="AD2370" s="1"/>
      <c r="AE2370" s="1"/>
    </row>
    <row r="2371" spans="18:31" ht="75" customHeight="1">
      <c r="R2371" s="1"/>
      <c r="S2371" s="1"/>
      <c r="AD2371" s="1"/>
      <c r="AE2371" s="1"/>
    </row>
    <row r="2372" spans="18:31" ht="75" customHeight="1">
      <c r="R2372" s="1"/>
      <c r="S2372" s="1"/>
      <c r="AD2372" s="1"/>
      <c r="AE2372" s="1"/>
    </row>
    <row r="2373" spans="18:31" ht="75" customHeight="1">
      <c r="R2373" s="1"/>
      <c r="S2373" s="1"/>
      <c r="AD2373" s="1"/>
      <c r="AE2373" s="1"/>
    </row>
    <row r="2374" spans="18:31" ht="75" customHeight="1">
      <c r="R2374" s="1"/>
      <c r="S2374" s="1"/>
      <c r="AD2374" s="1"/>
      <c r="AE2374" s="1"/>
    </row>
    <row r="2375" spans="18:31" ht="75" customHeight="1">
      <c r="R2375" s="1"/>
      <c r="S2375" s="1"/>
      <c r="AD2375" s="1"/>
      <c r="AE2375" s="1"/>
    </row>
    <row r="2376" spans="18:31" ht="75" customHeight="1">
      <c r="R2376" s="1"/>
      <c r="S2376" s="1"/>
      <c r="AD2376" s="1"/>
      <c r="AE2376" s="1"/>
    </row>
    <row r="2377" spans="18:31" ht="75" customHeight="1">
      <c r="R2377" s="1"/>
      <c r="S2377" s="1"/>
      <c r="AD2377" s="1"/>
      <c r="AE2377" s="1"/>
    </row>
    <row r="2378" spans="18:31" ht="75" customHeight="1">
      <c r="R2378" s="1"/>
      <c r="S2378" s="1"/>
      <c r="AD2378" s="1"/>
      <c r="AE2378" s="1"/>
    </row>
    <row r="2379" spans="18:31" ht="75" customHeight="1">
      <c r="R2379" s="1"/>
      <c r="S2379" s="1"/>
      <c r="AD2379" s="1"/>
      <c r="AE2379" s="1"/>
    </row>
    <row r="2380" spans="18:31" ht="75" customHeight="1">
      <c r="R2380" s="1"/>
      <c r="S2380" s="1"/>
      <c r="AD2380" s="1"/>
      <c r="AE2380" s="1"/>
    </row>
    <row r="2381" spans="18:31" ht="75" customHeight="1">
      <c r="R2381" s="1"/>
      <c r="S2381" s="1"/>
      <c r="AD2381" s="1"/>
      <c r="AE2381" s="1"/>
    </row>
    <row r="2382" spans="18:31" ht="75" customHeight="1">
      <c r="R2382" s="1"/>
      <c r="S2382" s="1"/>
      <c r="AD2382" s="1"/>
      <c r="AE2382" s="1"/>
    </row>
    <row r="2383" spans="18:31" ht="75" customHeight="1">
      <c r="R2383" s="1"/>
      <c r="S2383" s="1"/>
      <c r="AD2383" s="1"/>
      <c r="AE2383" s="1"/>
    </row>
    <row r="2384" spans="18:31" ht="75" customHeight="1">
      <c r="R2384" s="1"/>
      <c r="S2384" s="1"/>
      <c r="AD2384" s="1"/>
      <c r="AE2384" s="1"/>
    </row>
    <row r="2385" spans="18:31" ht="75" customHeight="1">
      <c r="R2385" s="1"/>
      <c r="S2385" s="1"/>
      <c r="AD2385" s="1"/>
      <c r="AE2385" s="1"/>
    </row>
    <row r="2386" spans="18:31" ht="75" customHeight="1">
      <c r="R2386" s="1"/>
      <c r="S2386" s="1"/>
      <c r="AD2386" s="1"/>
      <c r="AE2386" s="1"/>
    </row>
    <row r="2387" spans="18:31" ht="75" customHeight="1">
      <c r="R2387" s="1"/>
      <c r="S2387" s="1"/>
      <c r="AD2387" s="1"/>
      <c r="AE2387" s="1"/>
    </row>
    <row r="2388" spans="18:31" ht="75" customHeight="1">
      <c r="R2388" s="1"/>
      <c r="S2388" s="1"/>
      <c r="AD2388" s="1"/>
      <c r="AE2388" s="1"/>
    </row>
    <row r="2389" spans="18:31" ht="75" customHeight="1">
      <c r="R2389" s="1"/>
      <c r="S2389" s="1"/>
      <c r="AD2389" s="1"/>
      <c r="AE2389" s="1"/>
    </row>
    <row r="2390" spans="18:31" ht="75" customHeight="1">
      <c r="R2390" s="1"/>
      <c r="S2390" s="1"/>
      <c r="AD2390" s="1"/>
      <c r="AE2390" s="1"/>
    </row>
    <row r="2391" spans="18:31" ht="75" customHeight="1">
      <c r="R2391" s="1"/>
      <c r="S2391" s="1"/>
      <c r="AD2391" s="1"/>
      <c r="AE2391" s="1"/>
    </row>
    <row r="2392" spans="18:31" ht="75" customHeight="1">
      <c r="R2392" s="1"/>
      <c r="S2392" s="1"/>
      <c r="AD2392" s="1"/>
      <c r="AE2392" s="1"/>
    </row>
    <row r="2393" spans="18:31" ht="75" customHeight="1">
      <c r="R2393" s="1"/>
      <c r="S2393" s="1"/>
      <c r="AD2393" s="1"/>
      <c r="AE2393" s="1"/>
    </row>
    <row r="2394" spans="18:31" ht="75" customHeight="1">
      <c r="R2394" s="1"/>
      <c r="S2394" s="1"/>
      <c r="AD2394" s="1"/>
      <c r="AE2394" s="1"/>
    </row>
    <row r="2395" spans="18:31" ht="75" customHeight="1">
      <c r="R2395" s="1"/>
      <c r="S2395" s="1"/>
      <c r="AD2395" s="1"/>
      <c r="AE2395" s="1"/>
    </row>
    <row r="2396" spans="18:31" ht="75" customHeight="1">
      <c r="R2396" s="1"/>
      <c r="S2396" s="1"/>
      <c r="AD2396" s="1"/>
      <c r="AE2396" s="1"/>
    </row>
    <row r="2397" spans="18:31" ht="75" customHeight="1">
      <c r="R2397" s="1"/>
      <c r="S2397" s="1"/>
      <c r="AD2397" s="1"/>
      <c r="AE2397" s="1"/>
    </row>
    <row r="2398" spans="18:31" ht="75" customHeight="1">
      <c r="R2398" s="1"/>
      <c r="S2398" s="1"/>
      <c r="AD2398" s="1"/>
      <c r="AE2398" s="1"/>
    </row>
    <row r="2399" spans="18:31" ht="75" customHeight="1">
      <c r="R2399" s="1"/>
      <c r="S2399" s="1"/>
      <c r="AD2399" s="1"/>
      <c r="AE2399" s="1"/>
    </row>
    <row r="2400" spans="18:31" ht="75" customHeight="1">
      <c r="R2400" s="1"/>
      <c r="S2400" s="1"/>
      <c r="AD2400" s="1"/>
      <c r="AE2400" s="1"/>
    </row>
    <row r="2401" spans="18:31" ht="75" customHeight="1">
      <c r="R2401" s="1"/>
      <c r="S2401" s="1"/>
      <c r="AD2401" s="1"/>
      <c r="AE2401" s="1"/>
    </row>
    <row r="2402" spans="18:31" ht="75" customHeight="1">
      <c r="R2402" s="1"/>
      <c r="S2402" s="1"/>
      <c r="AD2402" s="1"/>
      <c r="AE2402" s="1"/>
    </row>
    <row r="2403" spans="18:31" ht="75" customHeight="1">
      <c r="R2403" s="1"/>
      <c r="S2403" s="1"/>
      <c r="AD2403" s="1"/>
      <c r="AE2403" s="1"/>
    </row>
    <row r="2404" spans="18:31" ht="75" customHeight="1">
      <c r="R2404" s="1"/>
      <c r="S2404" s="1"/>
      <c r="AD2404" s="1"/>
      <c r="AE2404" s="1"/>
    </row>
    <row r="2405" spans="18:31" ht="75" customHeight="1">
      <c r="R2405" s="1"/>
      <c r="S2405" s="1"/>
      <c r="AD2405" s="1"/>
      <c r="AE2405" s="1"/>
    </row>
    <row r="2406" spans="18:31" ht="75" customHeight="1">
      <c r="R2406" s="1"/>
      <c r="S2406" s="1"/>
      <c r="AD2406" s="1"/>
      <c r="AE2406" s="1"/>
    </row>
    <row r="2407" spans="18:31" ht="75" customHeight="1">
      <c r="R2407" s="1"/>
      <c r="S2407" s="1"/>
      <c r="AD2407" s="1"/>
      <c r="AE2407" s="1"/>
    </row>
    <row r="2408" spans="18:31" ht="75" customHeight="1">
      <c r="R2408" s="1"/>
      <c r="S2408" s="1"/>
      <c r="AD2408" s="1"/>
      <c r="AE2408" s="1"/>
    </row>
    <row r="2409" spans="18:31" ht="75" customHeight="1">
      <c r="R2409" s="1"/>
      <c r="S2409" s="1"/>
      <c r="AD2409" s="1"/>
      <c r="AE2409" s="1"/>
    </row>
    <row r="2410" spans="18:31" ht="75" customHeight="1">
      <c r="R2410" s="1"/>
      <c r="S2410" s="1"/>
      <c r="AD2410" s="1"/>
      <c r="AE2410" s="1"/>
    </row>
    <row r="2411" spans="18:31" ht="75" customHeight="1">
      <c r="R2411" s="1"/>
      <c r="S2411" s="1"/>
      <c r="AD2411" s="1"/>
      <c r="AE2411" s="1"/>
    </row>
    <row r="2412" spans="18:31" ht="75" customHeight="1">
      <c r="R2412" s="1"/>
      <c r="S2412" s="1"/>
      <c r="AD2412" s="1"/>
      <c r="AE2412" s="1"/>
    </row>
    <row r="2413" spans="18:31" ht="75" customHeight="1">
      <c r="R2413" s="1"/>
      <c r="S2413" s="1"/>
      <c r="AD2413" s="1"/>
      <c r="AE2413" s="1"/>
    </row>
    <row r="2414" spans="18:31" ht="75" customHeight="1">
      <c r="R2414" s="1"/>
      <c r="S2414" s="1"/>
      <c r="AD2414" s="1"/>
      <c r="AE2414" s="1"/>
    </row>
    <row r="2415" spans="18:31" ht="75" customHeight="1">
      <c r="R2415" s="1"/>
      <c r="S2415" s="1"/>
      <c r="AD2415" s="1"/>
      <c r="AE2415" s="1"/>
    </row>
    <row r="2416" spans="18:31" ht="75" customHeight="1">
      <c r="R2416" s="1"/>
      <c r="S2416" s="1"/>
      <c r="AD2416" s="1"/>
      <c r="AE2416" s="1"/>
    </row>
    <row r="2417" spans="18:31" ht="75" customHeight="1">
      <c r="R2417" s="1"/>
      <c r="S2417" s="1"/>
      <c r="AD2417" s="1"/>
      <c r="AE2417" s="1"/>
    </row>
    <row r="2418" spans="18:31" ht="75" customHeight="1">
      <c r="R2418" s="1"/>
      <c r="S2418" s="1"/>
      <c r="AD2418" s="1"/>
      <c r="AE2418" s="1"/>
    </row>
    <row r="2419" spans="18:31" ht="75" customHeight="1">
      <c r="R2419" s="1"/>
      <c r="S2419" s="1"/>
      <c r="AD2419" s="1"/>
      <c r="AE2419" s="1"/>
    </row>
    <row r="2420" spans="18:31" ht="75" customHeight="1">
      <c r="R2420" s="1"/>
      <c r="S2420" s="1"/>
      <c r="AD2420" s="1"/>
      <c r="AE2420" s="1"/>
    </row>
    <row r="2421" spans="18:31" ht="75" customHeight="1">
      <c r="R2421" s="1"/>
      <c r="S2421" s="1"/>
      <c r="AD2421" s="1"/>
      <c r="AE2421" s="1"/>
    </row>
    <row r="2422" spans="18:31" ht="75" customHeight="1">
      <c r="R2422" s="1"/>
      <c r="S2422" s="1"/>
      <c r="AD2422" s="1"/>
      <c r="AE2422" s="1"/>
    </row>
    <row r="2423" spans="18:31" ht="75" customHeight="1">
      <c r="R2423" s="1"/>
      <c r="S2423" s="1"/>
      <c r="AD2423" s="1"/>
      <c r="AE2423" s="1"/>
    </row>
    <row r="2424" spans="18:31" ht="75" customHeight="1">
      <c r="R2424" s="1"/>
      <c r="S2424" s="1"/>
      <c r="AD2424" s="1"/>
      <c r="AE2424" s="1"/>
    </row>
    <row r="2425" spans="18:31" ht="75" customHeight="1">
      <c r="R2425" s="1"/>
      <c r="S2425" s="1"/>
      <c r="AD2425" s="1"/>
      <c r="AE2425" s="1"/>
    </row>
    <row r="2426" spans="18:31" ht="75" customHeight="1">
      <c r="R2426" s="1"/>
      <c r="S2426" s="1"/>
      <c r="AD2426" s="1"/>
      <c r="AE2426" s="1"/>
    </row>
    <row r="2427" spans="18:31" ht="75" customHeight="1">
      <c r="R2427" s="1"/>
      <c r="S2427" s="1"/>
      <c r="AD2427" s="1"/>
      <c r="AE2427" s="1"/>
    </row>
    <row r="2428" spans="18:31" ht="75" customHeight="1">
      <c r="R2428" s="1"/>
      <c r="S2428" s="1"/>
      <c r="AD2428" s="1"/>
      <c r="AE2428" s="1"/>
    </row>
    <row r="2429" spans="18:31" ht="75" customHeight="1">
      <c r="R2429" s="1"/>
      <c r="S2429" s="1"/>
      <c r="AD2429" s="1"/>
      <c r="AE2429" s="1"/>
    </row>
    <row r="2430" spans="18:31" ht="75" customHeight="1">
      <c r="R2430" s="1"/>
      <c r="S2430" s="1"/>
      <c r="AD2430" s="1"/>
      <c r="AE2430" s="1"/>
    </row>
    <row r="2431" spans="18:31" ht="75" customHeight="1">
      <c r="R2431" s="1"/>
      <c r="S2431" s="1"/>
      <c r="AD2431" s="1"/>
      <c r="AE2431" s="1"/>
    </row>
    <row r="2432" spans="18:31" ht="75" customHeight="1">
      <c r="R2432" s="1"/>
      <c r="S2432" s="1"/>
      <c r="AD2432" s="1"/>
      <c r="AE2432" s="1"/>
    </row>
    <row r="2433" spans="18:31" ht="75" customHeight="1">
      <c r="R2433" s="1"/>
      <c r="S2433" s="1"/>
      <c r="AD2433" s="1"/>
      <c r="AE2433" s="1"/>
    </row>
    <row r="2434" spans="18:31" ht="75" customHeight="1">
      <c r="R2434" s="1"/>
      <c r="S2434" s="1"/>
      <c r="AD2434" s="1"/>
      <c r="AE2434" s="1"/>
    </row>
    <row r="2435" spans="18:31" ht="75" customHeight="1">
      <c r="R2435" s="1"/>
      <c r="S2435" s="1"/>
      <c r="AD2435" s="1"/>
      <c r="AE2435" s="1"/>
    </row>
    <row r="2436" spans="18:31" ht="75" customHeight="1">
      <c r="R2436" s="1"/>
      <c r="S2436" s="1"/>
      <c r="AD2436" s="1"/>
      <c r="AE2436" s="1"/>
    </row>
    <row r="2437" spans="18:31" ht="75" customHeight="1">
      <c r="R2437" s="1"/>
      <c r="S2437" s="1"/>
      <c r="AD2437" s="1"/>
      <c r="AE2437" s="1"/>
    </row>
    <row r="2438" spans="18:31" ht="75" customHeight="1">
      <c r="R2438" s="1"/>
      <c r="S2438" s="1"/>
      <c r="AD2438" s="1"/>
      <c r="AE2438" s="1"/>
    </row>
    <row r="2439" spans="18:31" ht="75" customHeight="1">
      <c r="R2439" s="1"/>
      <c r="S2439" s="1"/>
      <c r="AD2439" s="1"/>
      <c r="AE2439" s="1"/>
    </row>
    <row r="2440" spans="18:31" ht="75" customHeight="1">
      <c r="R2440" s="1"/>
      <c r="S2440" s="1"/>
      <c r="AD2440" s="1"/>
      <c r="AE2440" s="1"/>
    </row>
    <row r="2441" spans="18:31" ht="75" customHeight="1">
      <c r="R2441" s="1"/>
      <c r="S2441" s="1"/>
      <c r="AD2441" s="1"/>
      <c r="AE2441" s="1"/>
    </row>
    <row r="2442" spans="18:31" ht="75" customHeight="1">
      <c r="R2442" s="1"/>
      <c r="S2442" s="1"/>
      <c r="AD2442" s="1"/>
      <c r="AE2442" s="1"/>
    </row>
    <row r="2443" spans="18:31" ht="75" customHeight="1">
      <c r="R2443" s="1"/>
      <c r="S2443" s="1"/>
      <c r="AD2443" s="1"/>
      <c r="AE2443" s="1"/>
    </row>
    <row r="2444" spans="18:31" ht="75" customHeight="1">
      <c r="R2444" s="1"/>
      <c r="S2444" s="1"/>
      <c r="AD2444" s="1"/>
      <c r="AE2444" s="1"/>
    </row>
    <row r="2445" spans="18:31" ht="75" customHeight="1">
      <c r="R2445" s="1"/>
      <c r="S2445" s="1"/>
      <c r="AD2445" s="1"/>
      <c r="AE2445" s="1"/>
    </row>
    <row r="2446" spans="18:31" ht="75" customHeight="1">
      <c r="R2446" s="1"/>
      <c r="S2446" s="1"/>
      <c r="AD2446" s="1"/>
      <c r="AE2446" s="1"/>
    </row>
    <row r="2447" spans="18:31" ht="75" customHeight="1">
      <c r="R2447" s="1"/>
      <c r="S2447" s="1"/>
      <c r="AD2447" s="1"/>
      <c r="AE2447" s="1"/>
    </row>
    <row r="2448" spans="18:31" ht="75" customHeight="1">
      <c r="R2448" s="1"/>
      <c r="S2448" s="1"/>
      <c r="AD2448" s="1"/>
      <c r="AE2448" s="1"/>
    </row>
    <row r="2449" spans="18:31" ht="75" customHeight="1">
      <c r="R2449" s="1"/>
      <c r="S2449" s="1"/>
      <c r="AD2449" s="1"/>
      <c r="AE2449" s="1"/>
    </row>
    <row r="2450" spans="18:31" ht="75" customHeight="1">
      <c r="R2450" s="1"/>
      <c r="S2450" s="1"/>
      <c r="AD2450" s="1"/>
      <c r="AE2450" s="1"/>
    </row>
    <row r="2451" spans="18:31" ht="75" customHeight="1">
      <c r="R2451" s="1"/>
      <c r="S2451" s="1"/>
      <c r="AD2451" s="1"/>
      <c r="AE2451" s="1"/>
    </row>
    <row r="2452" spans="18:31" ht="75" customHeight="1">
      <c r="R2452" s="1"/>
      <c r="S2452" s="1"/>
      <c r="AD2452" s="1"/>
      <c r="AE2452" s="1"/>
    </row>
    <row r="2453" spans="18:31" ht="75" customHeight="1">
      <c r="R2453" s="1"/>
      <c r="S2453" s="1"/>
      <c r="AD2453" s="1"/>
      <c r="AE2453" s="1"/>
    </row>
    <row r="2454" spans="18:31" ht="75" customHeight="1">
      <c r="R2454" s="1"/>
      <c r="S2454" s="1"/>
      <c r="AD2454" s="1"/>
      <c r="AE2454" s="1"/>
    </row>
    <row r="2455" spans="18:31" ht="75" customHeight="1">
      <c r="R2455" s="1"/>
      <c r="S2455" s="1"/>
      <c r="AD2455" s="1"/>
      <c r="AE2455" s="1"/>
    </row>
    <row r="2456" spans="18:31" ht="75" customHeight="1">
      <c r="R2456" s="1"/>
      <c r="S2456" s="1"/>
      <c r="AD2456" s="1"/>
      <c r="AE2456" s="1"/>
    </row>
    <row r="2457" spans="18:31" ht="75" customHeight="1">
      <c r="R2457" s="1"/>
      <c r="S2457" s="1"/>
      <c r="AD2457" s="1"/>
      <c r="AE2457" s="1"/>
    </row>
    <row r="2458" spans="18:31" ht="75" customHeight="1">
      <c r="R2458" s="1"/>
      <c r="S2458" s="1"/>
      <c r="AD2458" s="1"/>
      <c r="AE2458" s="1"/>
    </row>
    <row r="2459" spans="18:31" ht="75" customHeight="1">
      <c r="R2459" s="1"/>
      <c r="S2459" s="1"/>
      <c r="AD2459" s="1"/>
      <c r="AE2459" s="1"/>
    </row>
    <row r="2460" spans="18:31" ht="75" customHeight="1">
      <c r="R2460" s="1"/>
      <c r="S2460" s="1"/>
      <c r="AD2460" s="1"/>
      <c r="AE2460" s="1"/>
    </row>
    <row r="2461" spans="18:31" ht="75" customHeight="1">
      <c r="R2461" s="1"/>
      <c r="S2461" s="1"/>
      <c r="AD2461" s="1"/>
      <c r="AE2461" s="1"/>
    </row>
    <row r="2462" spans="18:31" ht="75" customHeight="1">
      <c r="R2462" s="1"/>
      <c r="S2462" s="1"/>
      <c r="AD2462" s="1"/>
      <c r="AE2462" s="1"/>
    </row>
    <row r="2463" spans="18:31" ht="75" customHeight="1">
      <c r="R2463" s="1"/>
      <c r="S2463" s="1"/>
      <c r="AD2463" s="1"/>
      <c r="AE2463" s="1"/>
    </row>
    <row r="2464" spans="18:31" ht="75" customHeight="1">
      <c r="R2464" s="1"/>
      <c r="S2464" s="1"/>
      <c r="AD2464" s="1"/>
      <c r="AE2464" s="1"/>
    </row>
    <row r="2465" spans="18:31" ht="75" customHeight="1">
      <c r="R2465" s="1"/>
      <c r="S2465" s="1"/>
      <c r="AD2465" s="1"/>
      <c r="AE2465" s="1"/>
    </row>
    <row r="2466" spans="18:31" ht="75" customHeight="1">
      <c r="R2466" s="1"/>
      <c r="S2466" s="1"/>
      <c r="AD2466" s="1"/>
      <c r="AE2466" s="1"/>
    </row>
    <row r="2467" spans="18:31" ht="75" customHeight="1">
      <c r="R2467" s="1"/>
      <c r="S2467" s="1"/>
      <c r="AD2467" s="1"/>
      <c r="AE2467" s="1"/>
    </row>
    <row r="2468" spans="18:31" ht="75" customHeight="1">
      <c r="R2468" s="1"/>
      <c r="S2468" s="1"/>
      <c r="AD2468" s="1"/>
      <c r="AE2468" s="1"/>
    </row>
    <row r="2469" spans="18:31" ht="75" customHeight="1">
      <c r="R2469" s="1"/>
      <c r="S2469" s="1"/>
      <c r="AD2469" s="1"/>
      <c r="AE2469" s="1"/>
    </row>
    <row r="2470" spans="18:31" ht="75" customHeight="1">
      <c r="R2470" s="1"/>
      <c r="S2470" s="1"/>
      <c r="AD2470" s="1"/>
      <c r="AE2470" s="1"/>
    </row>
    <row r="2471" spans="18:31" ht="75" customHeight="1">
      <c r="R2471" s="1"/>
      <c r="S2471" s="1"/>
      <c r="AD2471" s="1"/>
      <c r="AE2471" s="1"/>
    </row>
    <row r="2472" spans="18:31" ht="75" customHeight="1">
      <c r="R2472" s="1"/>
      <c r="S2472" s="1"/>
      <c r="AD2472" s="1"/>
      <c r="AE2472" s="1"/>
    </row>
    <row r="2473" spans="18:31" ht="75" customHeight="1">
      <c r="R2473" s="1"/>
      <c r="S2473" s="1"/>
      <c r="AD2473" s="1"/>
      <c r="AE2473" s="1"/>
    </row>
    <row r="2474" spans="18:31" ht="75" customHeight="1">
      <c r="R2474" s="1"/>
      <c r="S2474" s="1"/>
      <c r="AD2474" s="1"/>
      <c r="AE2474" s="1"/>
    </row>
    <row r="2475" spans="18:31" ht="75" customHeight="1">
      <c r="R2475" s="1"/>
      <c r="S2475" s="1"/>
      <c r="AD2475" s="1"/>
      <c r="AE2475" s="1"/>
    </row>
    <row r="2476" spans="18:31" ht="75" customHeight="1">
      <c r="R2476" s="1"/>
      <c r="S2476" s="1"/>
      <c r="AD2476" s="1"/>
      <c r="AE2476" s="1"/>
    </row>
    <row r="2477" spans="18:31" ht="75" customHeight="1">
      <c r="R2477" s="1"/>
      <c r="S2477" s="1"/>
      <c r="AD2477" s="1"/>
      <c r="AE2477" s="1"/>
    </row>
    <row r="2478" spans="18:31" ht="75" customHeight="1">
      <c r="R2478" s="1"/>
      <c r="S2478" s="1"/>
      <c r="AD2478" s="1"/>
      <c r="AE2478" s="1"/>
    </row>
    <row r="2479" spans="18:31" ht="75" customHeight="1">
      <c r="R2479" s="1"/>
      <c r="S2479" s="1"/>
      <c r="AD2479" s="1"/>
      <c r="AE2479" s="1"/>
    </row>
    <row r="2480" spans="18:31" ht="75" customHeight="1">
      <c r="R2480" s="1"/>
      <c r="S2480" s="1"/>
      <c r="AD2480" s="1"/>
      <c r="AE2480" s="1"/>
    </row>
    <row r="2481" spans="18:31" ht="75" customHeight="1">
      <c r="R2481" s="1"/>
      <c r="S2481" s="1"/>
      <c r="AD2481" s="1"/>
      <c r="AE2481" s="1"/>
    </row>
    <row r="2482" spans="18:31" ht="75" customHeight="1">
      <c r="R2482" s="1"/>
      <c r="S2482" s="1"/>
      <c r="AD2482" s="1"/>
      <c r="AE2482" s="1"/>
    </row>
    <row r="2483" spans="18:31" ht="75" customHeight="1">
      <c r="R2483" s="1"/>
      <c r="S2483" s="1"/>
      <c r="AD2483" s="1"/>
      <c r="AE2483" s="1"/>
    </row>
    <row r="2484" spans="18:31" ht="75" customHeight="1">
      <c r="R2484" s="1"/>
      <c r="S2484" s="1"/>
      <c r="AD2484" s="1"/>
      <c r="AE2484" s="1"/>
    </row>
    <row r="2485" spans="18:31" ht="75" customHeight="1">
      <c r="R2485" s="1"/>
      <c r="S2485" s="1"/>
      <c r="AD2485" s="1"/>
      <c r="AE2485" s="1"/>
    </row>
    <row r="2486" spans="18:31" ht="75" customHeight="1">
      <c r="R2486" s="1"/>
      <c r="S2486" s="1"/>
      <c r="AD2486" s="1"/>
      <c r="AE2486" s="1"/>
    </row>
    <row r="2487" spans="18:31" ht="75" customHeight="1">
      <c r="R2487" s="1"/>
      <c r="S2487" s="1"/>
      <c r="AD2487" s="1"/>
      <c r="AE2487" s="1"/>
    </row>
    <row r="2488" spans="18:31" ht="75" customHeight="1">
      <c r="R2488" s="1"/>
      <c r="S2488" s="1"/>
      <c r="AD2488" s="1"/>
      <c r="AE2488" s="1"/>
    </row>
    <row r="2489" spans="18:31" ht="75" customHeight="1">
      <c r="R2489" s="1"/>
      <c r="S2489" s="1"/>
      <c r="AD2489" s="1"/>
      <c r="AE2489" s="1"/>
    </row>
    <row r="2490" spans="18:31" ht="75" customHeight="1">
      <c r="R2490" s="1"/>
      <c r="S2490" s="1"/>
      <c r="AD2490" s="1"/>
      <c r="AE2490" s="1"/>
    </row>
    <row r="2491" spans="18:31" ht="75" customHeight="1">
      <c r="R2491" s="1"/>
      <c r="S2491" s="1"/>
      <c r="AD2491" s="1"/>
      <c r="AE2491" s="1"/>
    </row>
    <row r="2492" spans="18:31" ht="75" customHeight="1">
      <c r="R2492" s="1"/>
      <c r="S2492" s="1"/>
      <c r="AD2492" s="1"/>
      <c r="AE2492" s="1"/>
    </row>
    <row r="2493" spans="18:31" ht="75" customHeight="1">
      <c r="R2493" s="1"/>
      <c r="S2493" s="1"/>
      <c r="AD2493" s="1"/>
      <c r="AE2493" s="1"/>
    </row>
    <row r="2494" spans="18:31" ht="75" customHeight="1">
      <c r="R2494" s="1"/>
      <c r="S2494" s="1"/>
      <c r="AD2494" s="1"/>
      <c r="AE2494" s="1"/>
    </row>
    <row r="2495" spans="18:31" ht="75" customHeight="1">
      <c r="R2495" s="1"/>
      <c r="S2495" s="1"/>
      <c r="AD2495" s="1"/>
      <c r="AE2495" s="1"/>
    </row>
    <row r="2496" spans="18:31" ht="75" customHeight="1">
      <c r="R2496" s="1"/>
      <c r="S2496" s="1"/>
      <c r="AD2496" s="1"/>
      <c r="AE2496" s="1"/>
    </row>
    <row r="2497" spans="18:31" ht="75" customHeight="1">
      <c r="R2497" s="1"/>
      <c r="S2497" s="1"/>
      <c r="AD2497" s="1"/>
      <c r="AE2497" s="1"/>
    </row>
    <row r="2498" spans="18:31" ht="75" customHeight="1">
      <c r="R2498" s="1"/>
      <c r="S2498" s="1"/>
      <c r="AD2498" s="1"/>
      <c r="AE2498" s="1"/>
    </row>
    <row r="2499" spans="18:31" ht="75" customHeight="1">
      <c r="R2499" s="1"/>
      <c r="S2499" s="1"/>
      <c r="AD2499" s="1"/>
      <c r="AE2499" s="1"/>
    </row>
    <row r="2500" spans="18:31" ht="75" customHeight="1">
      <c r="R2500" s="1"/>
      <c r="S2500" s="1"/>
      <c r="AD2500" s="1"/>
      <c r="AE2500" s="1"/>
    </row>
    <row r="2501" spans="18:31" ht="75" customHeight="1">
      <c r="R2501" s="1"/>
      <c r="S2501" s="1"/>
      <c r="AD2501" s="1"/>
      <c r="AE2501" s="1"/>
    </row>
    <row r="2502" spans="18:31" ht="75" customHeight="1">
      <c r="R2502" s="1"/>
      <c r="S2502" s="1"/>
      <c r="AD2502" s="1"/>
      <c r="AE2502" s="1"/>
    </row>
    <row r="2503" spans="18:31" ht="75" customHeight="1">
      <c r="R2503" s="1"/>
      <c r="S2503" s="1"/>
      <c r="AD2503" s="1"/>
      <c r="AE2503" s="1"/>
    </row>
    <row r="2504" spans="18:31" ht="75" customHeight="1">
      <c r="R2504" s="1"/>
      <c r="S2504" s="1"/>
      <c r="AD2504" s="1"/>
      <c r="AE2504" s="1"/>
    </row>
    <row r="2505" spans="18:31" ht="75" customHeight="1">
      <c r="R2505" s="1"/>
      <c r="S2505" s="1"/>
      <c r="AD2505" s="1"/>
      <c r="AE2505" s="1"/>
    </row>
    <row r="2506" spans="18:31" ht="75" customHeight="1">
      <c r="R2506" s="1"/>
      <c r="S2506" s="1"/>
      <c r="AD2506" s="1"/>
      <c r="AE2506" s="1"/>
    </row>
    <row r="2507" spans="18:31" ht="75" customHeight="1">
      <c r="R2507" s="1"/>
      <c r="S2507" s="1"/>
      <c r="AD2507" s="1"/>
      <c r="AE2507" s="1"/>
    </row>
    <row r="2508" spans="18:31" ht="75" customHeight="1">
      <c r="R2508" s="1"/>
      <c r="S2508" s="1"/>
      <c r="AD2508" s="1"/>
      <c r="AE2508" s="1"/>
    </row>
    <row r="2509" spans="18:31" ht="75" customHeight="1">
      <c r="R2509" s="1"/>
      <c r="S2509" s="1"/>
      <c r="AD2509" s="1"/>
      <c r="AE2509" s="1"/>
    </row>
    <row r="2510" spans="18:31" ht="75" customHeight="1">
      <c r="R2510" s="1"/>
      <c r="S2510" s="1"/>
      <c r="AD2510" s="1"/>
      <c r="AE2510" s="1"/>
    </row>
    <row r="2511" spans="18:31" ht="75" customHeight="1">
      <c r="R2511" s="1"/>
      <c r="S2511" s="1"/>
      <c r="AD2511" s="1"/>
      <c r="AE2511" s="1"/>
    </row>
    <row r="2512" spans="18:31" ht="75" customHeight="1">
      <c r="R2512" s="1"/>
      <c r="S2512" s="1"/>
      <c r="AD2512" s="1"/>
      <c r="AE2512" s="1"/>
    </row>
    <row r="2513" spans="18:31" ht="75" customHeight="1">
      <c r="R2513" s="1"/>
      <c r="S2513" s="1"/>
      <c r="AD2513" s="1"/>
      <c r="AE2513" s="1"/>
    </row>
    <row r="2514" spans="18:31" ht="75" customHeight="1">
      <c r="R2514" s="1"/>
      <c r="S2514" s="1"/>
      <c r="AD2514" s="1"/>
      <c r="AE2514" s="1"/>
    </row>
    <row r="2515" spans="18:31" ht="75" customHeight="1">
      <c r="R2515" s="1"/>
      <c r="S2515" s="1"/>
      <c r="AD2515" s="1"/>
      <c r="AE2515" s="1"/>
    </row>
    <row r="2516" spans="18:31" ht="75" customHeight="1">
      <c r="R2516" s="1"/>
      <c r="S2516" s="1"/>
      <c r="AD2516" s="1"/>
      <c r="AE2516" s="1"/>
    </row>
    <row r="2517" spans="18:31" ht="75" customHeight="1">
      <c r="R2517" s="1"/>
      <c r="S2517" s="1"/>
      <c r="AD2517" s="1"/>
      <c r="AE2517" s="1"/>
    </row>
    <row r="2518" spans="18:31" ht="75" customHeight="1">
      <c r="R2518" s="1"/>
      <c r="S2518" s="1"/>
      <c r="AD2518" s="1"/>
      <c r="AE2518" s="1"/>
    </row>
    <row r="2519" spans="18:31" ht="75" customHeight="1">
      <c r="R2519" s="1"/>
      <c r="S2519" s="1"/>
      <c r="AD2519" s="1"/>
      <c r="AE2519" s="1"/>
    </row>
    <row r="2520" spans="18:31" ht="75" customHeight="1">
      <c r="R2520" s="1"/>
      <c r="S2520" s="1"/>
      <c r="AD2520" s="1"/>
      <c r="AE2520" s="1"/>
    </row>
    <row r="2521" spans="18:31" ht="75" customHeight="1">
      <c r="R2521" s="1"/>
      <c r="S2521" s="1"/>
      <c r="AD2521" s="1"/>
      <c r="AE2521" s="1"/>
    </row>
    <row r="2522" spans="18:31" ht="75" customHeight="1">
      <c r="R2522" s="1"/>
      <c r="S2522" s="1"/>
      <c r="AD2522" s="1"/>
      <c r="AE2522" s="1"/>
    </row>
    <row r="2523" spans="18:31" ht="75" customHeight="1">
      <c r="R2523" s="1"/>
      <c r="S2523" s="1"/>
      <c r="AD2523" s="1"/>
      <c r="AE2523" s="1"/>
    </row>
    <row r="2524" spans="18:31" ht="75" customHeight="1">
      <c r="R2524" s="1"/>
      <c r="S2524" s="1"/>
      <c r="AD2524" s="1"/>
      <c r="AE2524" s="1"/>
    </row>
    <row r="2525" spans="18:31" ht="75" customHeight="1">
      <c r="R2525" s="1"/>
      <c r="S2525" s="1"/>
      <c r="AD2525" s="1"/>
      <c r="AE2525" s="1"/>
    </row>
    <row r="2526" spans="18:31" ht="75" customHeight="1">
      <c r="R2526" s="1"/>
      <c r="S2526" s="1"/>
      <c r="AD2526" s="1"/>
      <c r="AE2526" s="1"/>
    </row>
    <row r="2527" spans="18:31" ht="75" customHeight="1">
      <c r="R2527" s="1"/>
      <c r="S2527" s="1"/>
      <c r="AD2527" s="1"/>
      <c r="AE2527" s="1"/>
    </row>
    <row r="2528" spans="18:31" ht="75" customHeight="1">
      <c r="R2528" s="1"/>
      <c r="S2528" s="1"/>
      <c r="AD2528" s="1"/>
      <c r="AE2528" s="1"/>
    </row>
    <row r="2529" spans="18:31" ht="75" customHeight="1">
      <c r="R2529" s="1"/>
      <c r="S2529" s="1"/>
      <c r="AD2529" s="1"/>
      <c r="AE2529" s="1"/>
    </row>
    <row r="2530" spans="18:31" ht="75" customHeight="1">
      <c r="R2530" s="1"/>
      <c r="S2530" s="1"/>
      <c r="AD2530" s="1"/>
      <c r="AE2530" s="1"/>
    </row>
    <row r="2531" spans="18:31" ht="75" customHeight="1">
      <c r="R2531" s="1"/>
      <c r="S2531" s="1"/>
      <c r="AD2531" s="1"/>
      <c r="AE2531" s="1"/>
    </row>
    <row r="2532" spans="18:31" ht="75" customHeight="1">
      <c r="R2532" s="1"/>
      <c r="S2532" s="1"/>
      <c r="AD2532" s="1"/>
      <c r="AE2532" s="1"/>
    </row>
    <row r="2533" spans="18:31" ht="75" customHeight="1">
      <c r="R2533" s="1"/>
      <c r="S2533" s="1"/>
      <c r="AD2533" s="1"/>
      <c r="AE2533" s="1"/>
    </row>
    <row r="2534" spans="18:31" ht="75" customHeight="1">
      <c r="R2534" s="1"/>
      <c r="S2534" s="1"/>
      <c r="AD2534" s="1"/>
      <c r="AE2534" s="1"/>
    </row>
    <row r="2535" spans="18:31" ht="75" customHeight="1">
      <c r="R2535" s="1"/>
      <c r="S2535" s="1"/>
      <c r="AD2535" s="1"/>
      <c r="AE2535" s="1"/>
    </row>
    <row r="2536" spans="18:31" ht="75" customHeight="1">
      <c r="R2536" s="1"/>
      <c r="S2536" s="1"/>
      <c r="AD2536" s="1"/>
      <c r="AE2536" s="1"/>
    </row>
    <row r="2537" spans="18:31" ht="75" customHeight="1">
      <c r="R2537" s="1"/>
      <c r="S2537" s="1"/>
      <c r="AD2537" s="1"/>
      <c r="AE2537" s="1"/>
    </row>
    <row r="2538" spans="18:31" ht="75" customHeight="1">
      <c r="R2538" s="1"/>
      <c r="S2538" s="1"/>
      <c r="AD2538" s="1"/>
      <c r="AE2538" s="1"/>
    </row>
    <row r="2539" spans="18:31" ht="75" customHeight="1">
      <c r="R2539" s="1"/>
      <c r="S2539" s="1"/>
      <c r="AD2539" s="1"/>
      <c r="AE2539" s="1"/>
    </row>
    <row r="2540" spans="18:31" ht="75" customHeight="1">
      <c r="R2540" s="1"/>
      <c r="S2540" s="1"/>
      <c r="AD2540" s="1"/>
      <c r="AE2540" s="1"/>
    </row>
    <row r="2541" spans="18:31" ht="75" customHeight="1">
      <c r="R2541" s="1"/>
      <c r="S2541" s="1"/>
      <c r="AD2541" s="1"/>
      <c r="AE2541" s="1"/>
    </row>
    <row r="2542" spans="18:31" ht="75" customHeight="1">
      <c r="R2542" s="1"/>
      <c r="S2542" s="1"/>
      <c r="AD2542" s="1"/>
      <c r="AE2542" s="1"/>
    </row>
    <row r="2543" spans="18:31" ht="75" customHeight="1">
      <c r="R2543" s="1"/>
      <c r="S2543" s="1"/>
      <c r="AD2543" s="1"/>
      <c r="AE2543" s="1"/>
    </row>
    <row r="2544" spans="18:31" ht="75" customHeight="1">
      <c r="R2544" s="1"/>
      <c r="S2544" s="1"/>
      <c r="AD2544" s="1"/>
      <c r="AE2544" s="1"/>
    </row>
    <row r="2545" spans="18:31" ht="75" customHeight="1">
      <c r="R2545" s="1"/>
      <c r="S2545" s="1"/>
      <c r="AD2545" s="1"/>
      <c r="AE2545" s="1"/>
    </row>
    <row r="2546" spans="18:31" ht="75" customHeight="1">
      <c r="R2546" s="1"/>
      <c r="S2546" s="1"/>
      <c r="AD2546" s="1"/>
      <c r="AE2546" s="1"/>
    </row>
    <row r="2547" spans="18:31" ht="75" customHeight="1">
      <c r="R2547" s="1"/>
      <c r="S2547" s="1"/>
      <c r="AD2547" s="1"/>
      <c r="AE2547" s="1"/>
    </row>
    <row r="2548" spans="18:31" ht="75" customHeight="1">
      <c r="R2548" s="1"/>
      <c r="S2548" s="1"/>
      <c r="AD2548" s="1"/>
      <c r="AE2548" s="1"/>
    </row>
    <row r="2549" spans="18:31" ht="75" customHeight="1">
      <c r="R2549" s="1"/>
      <c r="S2549" s="1"/>
      <c r="AD2549" s="1"/>
      <c r="AE2549" s="1"/>
    </row>
    <row r="2550" spans="18:31" ht="75" customHeight="1">
      <c r="R2550" s="1"/>
      <c r="S2550" s="1"/>
      <c r="AD2550" s="1"/>
      <c r="AE2550" s="1"/>
    </row>
    <row r="2551" spans="18:31" ht="75" customHeight="1">
      <c r="R2551" s="1"/>
      <c r="S2551" s="1"/>
      <c r="AD2551" s="1"/>
      <c r="AE2551" s="1"/>
    </row>
    <row r="2552" spans="18:31" ht="75" customHeight="1">
      <c r="R2552" s="1"/>
      <c r="S2552" s="1"/>
      <c r="AD2552" s="1"/>
      <c r="AE2552" s="1"/>
    </row>
    <row r="2553" spans="18:31" ht="75" customHeight="1">
      <c r="R2553" s="1"/>
      <c r="S2553" s="1"/>
      <c r="AD2553" s="1"/>
      <c r="AE2553" s="1"/>
    </row>
    <row r="2554" spans="18:31" ht="75" customHeight="1">
      <c r="R2554" s="1"/>
      <c r="S2554" s="1"/>
      <c r="AD2554" s="1"/>
      <c r="AE2554" s="1"/>
    </row>
    <row r="2555" spans="18:31" ht="75" customHeight="1">
      <c r="R2555" s="1"/>
      <c r="S2555" s="1"/>
      <c r="AD2555" s="1"/>
      <c r="AE2555" s="1"/>
    </row>
    <row r="2556" spans="18:31" ht="75" customHeight="1">
      <c r="R2556" s="1"/>
      <c r="S2556" s="1"/>
      <c r="AD2556" s="1"/>
      <c r="AE2556" s="1"/>
    </row>
    <row r="2557" spans="18:31" ht="75" customHeight="1">
      <c r="R2557" s="1"/>
      <c r="S2557" s="1"/>
      <c r="AD2557" s="1"/>
      <c r="AE2557" s="1"/>
    </row>
    <row r="2558" spans="18:31" ht="75" customHeight="1">
      <c r="R2558" s="1"/>
      <c r="S2558" s="1"/>
      <c r="AD2558" s="1"/>
      <c r="AE2558" s="1"/>
    </row>
    <row r="2559" spans="18:31" ht="75" customHeight="1">
      <c r="R2559" s="1"/>
      <c r="S2559" s="1"/>
      <c r="AD2559" s="1"/>
      <c r="AE2559" s="1"/>
    </row>
    <row r="2560" spans="18:31" ht="75" customHeight="1">
      <c r="R2560" s="1"/>
      <c r="S2560" s="1"/>
      <c r="AD2560" s="1"/>
      <c r="AE2560" s="1"/>
    </row>
    <row r="2561" spans="18:31" ht="75" customHeight="1">
      <c r="R2561" s="1"/>
      <c r="S2561" s="1"/>
      <c r="AD2561" s="1"/>
      <c r="AE2561" s="1"/>
    </row>
    <row r="2562" spans="18:31" ht="75" customHeight="1">
      <c r="R2562" s="1"/>
      <c r="S2562" s="1"/>
      <c r="AD2562" s="1"/>
      <c r="AE2562" s="1"/>
    </row>
    <row r="2563" spans="18:31" ht="75" customHeight="1">
      <c r="R2563" s="1"/>
      <c r="S2563" s="1"/>
      <c r="AD2563" s="1"/>
      <c r="AE2563" s="1"/>
    </row>
    <row r="2564" spans="18:31" ht="75" customHeight="1">
      <c r="R2564" s="1"/>
      <c r="S2564" s="1"/>
      <c r="AD2564" s="1"/>
      <c r="AE2564" s="1"/>
    </row>
    <row r="2565" spans="18:31" ht="75" customHeight="1">
      <c r="R2565" s="1"/>
      <c r="S2565" s="1"/>
      <c r="AD2565" s="1"/>
      <c r="AE2565" s="1"/>
    </row>
    <row r="2566" spans="18:31" ht="75" customHeight="1">
      <c r="R2566" s="1"/>
      <c r="S2566" s="1"/>
      <c r="AD2566" s="1"/>
      <c r="AE2566" s="1"/>
    </row>
    <row r="2567" spans="18:31" ht="75" customHeight="1">
      <c r="R2567" s="1"/>
      <c r="S2567" s="1"/>
      <c r="AD2567" s="1"/>
      <c r="AE2567" s="1"/>
    </row>
    <row r="2568" spans="18:31" ht="75" customHeight="1">
      <c r="R2568" s="1"/>
      <c r="S2568" s="1"/>
      <c r="AD2568" s="1"/>
      <c r="AE2568" s="1"/>
    </row>
    <row r="2569" spans="18:31" ht="75" customHeight="1">
      <c r="R2569" s="1"/>
      <c r="S2569" s="1"/>
      <c r="AD2569" s="1"/>
      <c r="AE2569" s="1"/>
    </row>
    <row r="2570" spans="18:31" ht="75" customHeight="1">
      <c r="R2570" s="1"/>
      <c r="S2570" s="1"/>
      <c r="AD2570" s="1"/>
      <c r="AE2570" s="1"/>
    </row>
    <row r="2571" spans="18:31" ht="75" customHeight="1">
      <c r="R2571" s="1"/>
      <c r="S2571" s="1"/>
      <c r="AD2571" s="1"/>
      <c r="AE2571" s="1"/>
    </row>
    <row r="2572" spans="18:31" ht="75" customHeight="1">
      <c r="R2572" s="1"/>
      <c r="S2572" s="1"/>
      <c r="AD2572" s="1"/>
      <c r="AE2572" s="1"/>
    </row>
    <row r="2573" spans="18:31" ht="75" customHeight="1">
      <c r="R2573" s="1"/>
      <c r="S2573" s="1"/>
      <c r="AD2573" s="1"/>
      <c r="AE2573" s="1"/>
    </row>
    <row r="2574" spans="18:31" ht="75" customHeight="1">
      <c r="R2574" s="1"/>
      <c r="S2574" s="1"/>
      <c r="AD2574" s="1"/>
      <c r="AE2574" s="1"/>
    </row>
    <row r="2575" spans="18:31" ht="75" customHeight="1">
      <c r="R2575" s="1"/>
      <c r="S2575" s="1"/>
      <c r="AD2575" s="1"/>
      <c r="AE2575" s="1"/>
    </row>
    <row r="2576" spans="18:31" ht="75" customHeight="1">
      <c r="R2576" s="1"/>
      <c r="S2576" s="1"/>
      <c r="AD2576" s="1"/>
      <c r="AE2576" s="1"/>
    </row>
    <row r="2577" spans="18:31" ht="75" customHeight="1">
      <c r="R2577" s="1"/>
      <c r="S2577" s="1"/>
      <c r="AD2577" s="1"/>
      <c r="AE2577" s="1"/>
    </row>
    <row r="2578" spans="18:31" ht="75" customHeight="1">
      <c r="R2578" s="1"/>
      <c r="S2578" s="1"/>
      <c r="AD2578" s="1"/>
      <c r="AE2578" s="1"/>
    </row>
    <row r="2579" spans="18:31" ht="75" customHeight="1">
      <c r="R2579" s="1"/>
      <c r="S2579" s="1"/>
      <c r="AD2579" s="1"/>
      <c r="AE2579" s="1"/>
    </row>
    <row r="2580" spans="18:31" ht="75" customHeight="1">
      <c r="R2580" s="1"/>
      <c r="S2580" s="1"/>
      <c r="AD2580" s="1"/>
      <c r="AE2580" s="1"/>
    </row>
    <row r="2581" spans="18:31" ht="75" customHeight="1">
      <c r="R2581" s="1"/>
      <c r="S2581" s="1"/>
      <c r="AD2581" s="1"/>
      <c r="AE2581" s="1"/>
    </row>
    <row r="2582" spans="18:31" ht="75" customHeight="1">
      <c r="R2582" s="1"/>
      <c r="S2582" s="1"/>
      <c r="AD2582" s="1"/>
      <c r="AE2582" s="1"/>
    </row>
    <row r="2583" spans="18:31" ht="75" customHeight="1">
      <c r="R2583" s="1"/>
      <c r="S2583" s="1"/>
      <c r="AD2583" s="1"/>
      <c r="AE2583" s="1"/>
    </row>
    <row r="2584" spans="18:31" ht="75" customHeight="1">
      <c r="R2584" s="1"/>
      <c r="S2584" s="1"/>
      <c r="AD2584" s="1"/>
      <c r="AE2584" s="1"/>
    </row>
    <row r="2585" spans="18:31" ht="75" customHeight="1">
      <c r="R2585" s="1"/>
      <c r="S2585" s="1"/>
      <c r="AD2585" s="1"/>
      <c r="AE2585" s="1"/>
    </row>
    <row r="2586" spans="18:31" ht="75" customHeight="1">
      <c r="R2586" s="1"/>
      <c r="S2586" s="1"/>
      <c r="AD2586" s="1"/>
      <c r="AE2586" s="1"/>
    </row>
    <row r="2587" spans="18:31" ht="75" customHeight="1">
      <c r="R2587" s="1"/>
      <c r="S2587" s="1"/>
      <c r="AD2587" s="1"/>
      <c r="AE2587" s="1"/>
    </row>
    <row r="2588" spans="18:31" ht="75" customHeight="1">
      <c r="R2588" s="1"/>
      <c r="S2588" s="1"/>
      <c r="AD2588" s="1"/>
      <c r="AE2588" s="1"/>
    </row>
    <row r="2589" spans="18:31" ht="75" customHeight="1">
      <c r="R2589" s="1"/>
      <c r="S2589" s="1"/>
      <c r="AD2589" s="1"/>
      <c r="AE2589" s="1"/>
    </row>
    <row r="2590" spans="18:31" ht="75" customHeight="1">
      <c r="R2590" s="1"/>
      <c r="S2590" s="1"/>
      <c r="AD2590" s="1"/>
      <c r="AE2590" s="1"/>
    </row>
    <row r="2591" spans="18:31" ht="75" customHeight="1">
      <c r="R2591" s="1"/>
      <c r="S2591" s="1"/>
      <c r="AD2591" s="1"/>
      <c r="AE2591" s="1"/>
    </row>
    <row r="2592" spans="18:31" ht="75" customHeight="1">
      <c r="R2592" s="1"/>
      <c r="S2592" s="1"/>
      <c r="AD2592" s="1"/>
      <c r="AE2592" s="1"/>
    </row>
    <row r="2593" spans="18:31" ht="75" customHeight="1">
      <c r="R2593" s="1"/>
      <c r="S2593" s="1"/>
      <c r="AD2593" s="1"/>
      <c r="AE2593" s="1"/>
    </row>
    <row r="2594" spans="18:31" ht="75" customHeight="1">
      <c r="R2594" s="1"/>
      <c r="S2594" s="1"/>
      <c r="AD2594" s="1"/>
      <c r="AE2594" s="1"/>
    </row>
    <row r="2595" spans="18:31" ht="75" customHeight="1">
      <c r="R2595" s="1"/>
      <c r="S2595" s="1"/>
      <c r="AD2595" s="1"/>
      <c r="AE2595" s="1"/>
    </row>
    <row r="2596" spans="18:31" ht="75" customHeight="1">
      <c r="R2596" s="1"/>
      <c r="S2596" s="1"/>
      <c r="AD2596" s="1"/>
      <c r="AE2596" s="1"/>
    </row>
    <row r="2597" spans="18:31" ht="75" customHeight="1">
      <c r="R2597" s="1"/>
      <c r="S2597" s="1"/>
      <c r="AD2597" s="1"/>
      <c r="AE2597" s="1"/>
    </row>
    <row r="2598" spans="18:31" ht="75" customHeight="1">
      <c r="R2598" s="1"/>
      <c r="S2598" s="1"/>
      <c r="AD2598" s="1"/>
      <c r="AE2598" s="1"/>
    </row>
    <row r="2599" spans="18:31" ht="75" customHeight="1">
      <c r="R2599" s="1"/>
      <c r="S2599" s="1"/>
      <c r="AD2599" s="1"/>
      <c r="AE2599" s="1"/>
    </row>
    <row r="2600" spans="18:31" ht="75" customHeight="1">
      <c r="R2600" s="1"/>
      <c r="S2600" s="1"/>
      <c r="AD2600" s="1"/>
      <c r="AE2600" s="1"/>
    </row>
    <row r="2601" spans="18:31" ht="75" customHeight="1">
      <c r="R2601" s="1"/>
      <c r="S2601" s="1"/>
      <c r="AD2601" s="1"/>
      <c r="AE2601" s="1"/>
    </row>
    <row r="2602" spans="18:31" ht="75" customHeight="1">
      <c r="R2602" s="1"/>
      <c r="S2602" s="1"/>
      <c r="AD2602" s="1"/>
      <c r="AE2602" s="1"/>
    </row>
    <row r="2603" spans="18:31" ht="75" customHeight="1">
      <c r="R2603" s="1"/>
      <c r="S2603" s="1"/>
      <c r="AD2603" s="1"/>
      <c r="AE2603" s="1"/>
    </row>
    <row r="2604" spans="18:31" ht="75" customHeight="1">
      <c r="R2604" s="1"/>
      <c r="S2604" s="1"/>
      <c r="AD2604" s="1"/>
      <c r="AE2604" s="1"/>
    </row>
    <row r="2605" spans="18:31" ht="75" customHeight="1">
      <c r="R2605" s="1"/>
      <c r="S2605" s="1"/>
      <c r="AD2605" s="1"/>
      <c r="AE2605" s="1"/>
    </row>
    <row r="2606" spans="18:31" ht="75" customHeight="1">
      <c r="R2606" s="1"/>
      <c r="S2606" s="1"/>
      <c r="AD2606" s="1"/>
      <c r="AE2606" s="1"/>
    </row>
    <row r="2607" spans="18:31" ht="75" customHeight="1">
      <c r="R2607" s="1"/>
      <c r="S2607" s="1"/>
      <c r="AD2607" s="1"/>
      <c r="AE2607" s="1"/>
    </row>
    <row r="2608" spans="18:31" ht="75" customHeight="1">
      <c r="R2608" s="1"/>
      <c r="S2608" s="1"/>
      <c r="AD2608" s="1"/>
      <c r="AE2608" s="1"/>
    </row>
    <row r="2609" spans="18:31" ht="75" customHeight="1">
      <c r="R2609" s="1"/>
      <c r="S2609" s="1"/>
      <c r="AD2609" s="1"/>
      <c r="AE2609" s="1"/>
    </row>
    <row r="2610" spans="18:31" ht="75" customHeight="1">
      <c r="R2610" s="1"/>
      <c r="S2610" s="1"/>
      <c r="AD2610" s="1"/>
      <c r="AE2610" s="1"/>
    </row>
    <row r="2611" spans="18:31" ht="75" customHeight="1">
      <c r="R2611" s="1"/>
      <c r="S2611" s="1"/>
      <c r="AD2611" s="1"/>
      <c r="AE2611" s="1"/>
    </row>
    <row r="2612" spans="18:31" ht="75" customHeight="1">
      <c r="R2612" s="1"/>
      <c r="S2612" s="1"/>
      <c r="AD2612" s="1"/>
      <c r="AE2612" s="1"/>
    </row>
    <row r="2613" spans="18:31" ht="75" customHeight="1">
      <c r="R2613" s="1"/>
      <c r="S2613" s="1"/>
      <c r="AD2613" s="1"/>
      <c r="AE2613" s="1"/>
    </row>
    <row r="2614" spans="18:31" ht="75" customHeight="1">
      <c r="R2614" s="1"/>
      <c r="S2614" s="1"/>
      <c r="AD2614" s="1"/>
      <c r="AE2614" s="1"/>
    </row>
    <row r="2615" spans="18:31" ht="75" customHeight="1">
      <c r="R2615" s="1"/>
      <c r="S2615" s="1"/>
      <c r="AD2615" s="1"/>
      <c r="AE2615" s="1"/>
    </row>
    <row r="2616" spans="18:31" ht="75" customHeight="1">
      <c r="R2616" s="1"/>
      <c r="S2616" s="1"/>
      <c r="AD2616" s="1"/>
      <c r="AE2616" s="1"/>
    </row>
    <row r="2617" spans="18:31" ht="75" customHeight="1">
      <c r="R2617" s="1"/>
      <c r="S2617" s="1"/>
      <c r="AD2617" s="1"/>
      <c r="AE2617" s="1"/>
    </row>
    <row r="2618" spans="18:31" ht="75" customHeight="1">
      <c r="R2618" s="1"/>
      <c r="S2618" s="1"/>
      <c r="AD2618" s="1"/>
      <c r="AE2618" s="1"/>
    </row>
    <row r="2619" spans="18:31" ht="75" customHeight="1">
      <c r="R2619" s="1"/>
      <c r="S2619" s="1"/>
      <c r="AD2619" s="1"/>
      <c r="AE2619" s="1"/>
    </row>
    <row r="2620" spans="18:31" ht="75" customHeight="1">
      <c r="R2620" s="1"/>
      <c r="S2620" s="1"/>
      <c r="AD2620" s="1"/>
      <c r="AE2620" s="1"/>
    </row>
    <row r="2621" spans="18:31" ht="75" customHeight="1">
      <c r="R2621" s="1"/>
      <c r="S2621" s="1"/>
      <c r="AD2621" s="1"/>
      <c r="AE2621" s="1"/>
    </row>
    <row r="2622" spans="18:31" ht="75" customHeight="1">
      <c r="R2622" s="1"/>
      <c r="S2622" s="1"/>
      <c r="AD2622" s="1"/>
      <c r="AE2622" s="1"/>
    </row>
    <row r="2623" spans="18:31" ht="75" customHeight="1">
      <c r="R2623" s="1"/>
      <c r="S2623" s="1"/>
      <c r="AD2623" s="1"/>
      <c r="AE2623" s="1"/>
    </row>
    <row r="2624" spans="18:31" ht="75" customHeight="1">
      <c r="R2624" s="1"/>
      <c r="S2624" s="1"/>
      <c r="AD2624" s="1"/>
      <c r="AE2624" s="1"/>
    </row>
    <row r="2625" spans="18:31" ht="75" customHeight="1">
      <c r="R2625" s="1"/>
      <c r="S2625" s="1"/>
      <c r="AD2625" s="1"/>
      <c r="AE2625" s="1"/>
    </row>
    <row r="2626" spans="18:31" ht="75" customHeight="1">
      <c r="R2626" s="1"/>
      <c r="S2626" s="1"/>
      <c r="AD2626" s="1"/>
      <c r="AE2626" s="1"/>
    </row>
    <row r="2627" spans="18:31" ht="75" customHeight="1">
      <c r="R2627" s="1"/>
      <c r="S2627" s="1"/>
      <c r="AD2627" s="1"/>
      <c r="AE2627" s="1"/>
    </row>
    <row r="2628" spans="18:31" ht="75" customHeight="1">
      <c r="R2628" s="1"/>
      <c r="S2628" s="1"/>
      <c r="AD2628" s="1"/>
      <c r="AE2628" s="1"/>
    </row>
    <row r="2629" spans="18:31" ht="75" customHeight="1">
      <c r="R2629" s="1"/>
      <c r="S2629" s="1"/>
      <c r="AD2629" s="1"/>
      <c r="AE2629" s="1"/>
    </row>
    <row r="2630" spans="18:31" ht="75" customHeight="1">
      <c r="R2630" s="1"/>
      <c r="S2630" s="1"/>
      <c r="AD2630" s="1"/>
      <c r="AE2630" s="1"/>
    </row>
    <row r="2631" spans="18:31" ht="75" customHeight="1">
      <c r="R2631" s="1"/>
      <c r="S2631" s="1"/>
      <c r="AD2631" s="1"/>
      <c r="AE2631" s="1"/>
    </row>
    <row r="2632" spans="18:31" ht="75" customHeight="1">
      <c r="R2632" s="1"/>
      <c r="S2632" s="1"/>
      <c r="AD2632" s="1"/>
      <c r="AE2632" s="1"/>
    </row>
    <row r="2633" spans="18:31" ht="75" customHeight="1">
      <c r="R2633" s="1"/>
      <c r="S2633" s="1"/>
      <c r="AD2633" s="1"/>
      <c r="AE2633" s="1"/>
    </row>
    <row r="2634" spans="18:31" ht="75" customHeight="1">
      <c r="R2634" s="1"/>
      <c r="S2634" s="1"/>
      <c r="AD2634" s="1"/>
      <c r="AE2634" s="1"/>
    </row>
    <row r="2635" spans="18:31" ht="75" customHeight="1">
      <c r="R2635" s="1"/>
      <c r="S2635" s="1"/>
      <c r="AD2635" s="1"/>
      <c r="AE2635" s="1"/>
    </row>
    <row r="2636" spans="18:31" ht="75" customHeight="1">
      <c r="R2636" s="1"/>
      <c r="S2636" s="1"/>
      <c r="AD2636" s="1"/>
      <c r="AE2636" s="1"/>
    </row>
    <row r="2637" spans="18:31" ht="75" customHeight="1">
      <c r="R2637" s="1"/>
      <c r="S2637" s="1"/>
      <c r="AD2637" s="1"/>
      <c r="AE2637" s="1"/>
    </row>
    <row r="2638" spans="18:31" ht="75" customHeight="1">
      <c r="R2638" s="1"/>
      <c r="S2638" s="1"/>
      <c r="AD2638" s="1"/>
      <c r="AE2638" s="1"/>
    </row>
    <row r="2639" spans="18:31" ht="75" customHeight="1">
      <c r="R2639" s="1"/>
      <c r="S2639" s="1"/>
      <c r="AD2639" s="1"/>
      <c r="AE2639" s="1"/>
    </row>
    <row r="2640" spans="18:31" ht="75" customHeight="1">
      <c r="R2640" s="1"/>
      <c r="S2640" s="1"/>
      <c r="AD2640" s="1"/>
      <c r="AE2640" s="1"/>
    </row>
    <row r="2641" spans="18:31" ht="75" customHeight="1">
      <c r="R2641" s="1"/>
      <c r="S2641" s="1"/>
      <c r="AD2641" s="1"/>
      <c r="AE2641" s="1"/>
    </row>
    <row r="2642" spans="18:31" ht="75" customHeight="1">
      <c r="R2642" s="1"/>
      <c r="S2642" s="1"/>
      <c r="AD2642" s="1"/>
      <c r="AE2642" s="1"/>
    </row>
    <row r="2643" spans="18:31" ht="75" customHeight="1">
      <c r="R2643" s="1"/>
      <c r="S2643" s="1"/>
      <c r="AD2643" s="1"/>
      <c r="AE2643" s="1"/>
    </row>
    <row r="2644" spans="18:31" ht="75" customHeight="1">
      <c r="R2644" s="1"/>
      <c r="S2644" s="1"/>
      <c r="AD2644" s="1"/>
      <c r="AE2644" s="1"/>
    </row>
    <row r="2645" spans="18:31" ht="75" customHeight="1">
      <c r="R2645" s="1"/>
      <c r="S2645" s="1"/>
      <c r="AD2645" s="1"/>
      <c r="AE2645" s="1"/>
    </row>
    <row r="2646" spans="18:31" ht="75" customHeight="1">
      <c r="R2646" s="1"/>
      <c r="S2646" s="1"/>
      <c r="AD2646" s="1"/>
      <c r="AE2646" s="1"/>
    </row>
    <row r="2647" spans="18:31" ht="75" customHeight="1">
      <c r="R2647" s="1"/>
      <c r="S2647" s="1"/>
      <c r="AD2647" s="1"/>
      <c r="AE2647" s="1"/>
    </row>
    <row r="2648" spans="18:31" ht="75" customHeight="1">
      <c r="R2648" s="1"/>
      <c r="S2648" s="1"/>
      <c r="AD2648" s="1"/>
      <c r="AE2648" s="1"/>
    </row>
    <row r="2649" spans="18:31" ht="75" customHeight="1">
      <c r="R2649" s="1"/>
      <c r="S2649" s="1"/>
      <c r="AD2649" s="1"/>
      <c r="AE2649" s="1"/>
    </row>
    <row r="2650" spans="18:31" ht="75" customHeight="1">
      <c r="R2650" s="1"/>
      <c r="S2650" s="1"/>
      <c r="AD2650" s="1"/>
      <c r="AE2650" s="1"/>
    </row>
    <row r="2651" spans="18:31" ht="75" customHeight="1">
      <c r="R2651" s="1"/>
      <c r="S2651" s="1"/>
      <c r="AD2651" s="1"/>
      <c r="AE2651" s="1"/>
    </row>
    <row r="2652" spans="18:31" ht="75" customHeight="1">
      <c r="R2652" s="1"/>
      <c r="S2652" s="1"/>
      <c r="AD2652" s="1"/>
      <c r="AE2652" s="1"/>
    </row>
    <row r="2653" spans="18:31" ht="75" customHeight="1">
      <c r="R2653" s="1"/>
      <c r="S2653" s="1"/>
      <c r="AD2653" s="1"/>
      <c r="AE2653" s="1"/>
    </row>
    <row r="2654" spans="18:31" ht="75" customHeight="1">
      <c r="R2654" s="1"/>
      <c r="S2654" s="1"/>
      <c r="AD2654" s="1"/>
      <c r="AE2654" s="1"/>
    </row>
    <row r="2655" spans="18:31" ht="75" customHeight="1">
      <c r="R2655" s="1"/>
      <c r="S2655" s="1"/>
      <c r="AD2655" s="1"/>
      <c r="AE2655" s="1"/>
    </row>
    <row r="2656" spans="18:31" ht="75" customHeight="1">
      <c r="R2656" s="1"/>
      <c r="S2656" s="1"/>
      <c r="AD2656" s="1"/>
      <c r="AE2656" s="1"/>
    </row>
    <row r="2657" spans="18:31" ht="75" customHeight="1">
      <c r="R2657" s="1"/>
      <c r="S2657" s="1"/>
      <c r="AD2657" s="1"/>
      <c r="AE2657" s="1"/>
    </row>
    <row r="2658" spans="18:31" ht="75" customHeight="1">
      <c r="R2658" s="1"/>
      <c r="S2658" s="1"/>
      <c r="AD2658" s="1"/>
      <c r="AE2658" s="1"/>
    </row>
    <row r="2659" spans="18:31" ht="75" customHeight="1">
      <c r="R2659" s="1"/>
      <c r="S2659" s="1"/>
      <c r="AD2659" s="1"/>
      <c r="AE2659" s="1"/>
    </row>
    <row r="2660" spans="18:31" ht="75" customHeight="1">
      <c r="R2660" s="1"/>
      <c r="S2660" s="1"/>
      <c r="AD2660" s="1"/>
      <c r="AE2660" s="1"/>
    </row>
    <row r="2661" spans="18:31" ht="75" customHeight="1">
      <c r="R2661" s="1"/>
      <c r="S2661" s="1"/>
      <c r="AD2661" s="1"/>
      <c r="AE2661" s="1"/>
    </row>
    <row r="2662" spans="18:31" ht="75" customHeight="1">
      <c r="R2662" s="1"/>
      <c r="S2662" s="1"/>
      <c r="AD2662" s="1"/>
      <c r="AE2662" s="1"/>
    </row>
    <row r="2663" spans="18:31" ht="75" customHeight="1">
      <c r="R2663" s="1"/>
      <c r="S2663" s="1"/>
      <c r="AD2663" s="1"/>
      <c r="AE2663" s="1"/>
    </row>
    <row r="2664" spans="18:31" ht="75" customHeight="1">
      <c r="R2664" s="1"/>
      <c r="S2664" s="1"/>
      <c r="AD2664" s="1"/>
      <c r="AE2664" s="1"/>
    </row>
    <row r="2665" spans="18:31" ht="75" customHeight="1">
      <c r="R2665" s="1"/>
      <c r="S2665" s="1"/>
      <c r="AD2665" s="1"/>
      <c r="AE2665" s="1"/>
    </row>
    <row r="2666" spans="18:31" ht="75" customHeight="1">
      <c r="R2666" s="1"/>
      <c r="S2666" s="1"/>
      <c r="AD2666" s="1"/>
      <c r="AE2666" s="1"/>
    </row>
    <row r="2667" spans="18:31" ht="75" customHeight="1">
      <c r="R2667" s="1"/>
      <c r="S2667" s="1"/>
      <c r="AD2667" s="1"/>
      <c r="AE2667" s="1"/>
    </row>
    <row r="2668" spans="18:31" ht="75" customHeight="1">
      <c r="R2668" s="1"/>
      <c r="S2668" s="1"/>
      <c r="AD2668" s="1"/>
      <c r="AE2668" s="1"/>
    </row>
    <row r="2669" spans="18:31" ht="75" customHeight="1">
      <c r="R2669" s="1"/>
      <c r="S2669" s="1"/>
      <c r="AD2669" s="1"/>
      <c r="AE2669" s="1"/>
    </row>
    <row r="2670" spans="18:31" ht="75" customHeight="1">
      <c r="R2670" s="1"/>
      <c r="S2670" s="1"/>
      <c r="AD2670" s="1"/>
      <c r="AE2670" s="1"/>
    </row>
    <row r="2671" spans="18:31" ht="75" customHeight="1">
      <c r="R2671" s="1"/>
      <c r="S2671" s="1"/>
      <c r="AD2671" s="1"/>
      <c r="AE2671" s="1"/>
    </row>
    <row r="2672" spans="18:31" ht="75" customHeight="1">
      <c r="R2672" s="1"/>
      <c r="S2672" s="1"/>
      <c r="AD2672" s="1"/>
      <c r="AE2672" s="1"/>
    </row>
    <row r="2673" spans="18:31" ht="75" customHeight="1">
      <c r="R2673" s="1"/>
      <c r="S2673" s="1"/>
      <c r="AD2673" s="1"/>
      <c r="AE2673" s="1"/>
    </row>
    <row r="2674" spans="18:31" ht="75" customHeight="1">
      <c r="R2674" s="1"/>
      <c r="S2674" s="1"/>
      <c r="AD2674" s="1"/>
      <c r="AE2674" s="1"/>
    </row>
    <row r="2675" spans="18:31" ht="75" customHeight="1">
      <c r="R2675" s="1"/>
      <c r="S2675" s="1"/>
      <c r="AD2675" s="1"/>
      <c r="AE2675" s="1"/>
    </row>
    <row r="2676" spans="18:31" ht="75" customHeight="1">
      <c r="R2676" s="1"/>
      <c r="S2676" s="1"/>
      <c r="AD2676" s="1"/>
      <c r="AE2676" s="1"/>
    </row>
    <row r="2677" spans="18:31" ht="75" customHeight="1">
      <c r="R2677" s="1"/>
      <c r="S2677" s="1"/>
      <c r="AD2677" s="1"/>
      <c r="AE2677" s="1"/>
    </row>
    <row r="2678" spans="18:31" ht="75" customHeight="1">
      <c r="R2678" s="1"/>
      <c r="S2678" s="1"/>
      <c r="AD2678" s="1"/>
      <c r="AE2678" s="1"/>
    </row>
    <row r="2679" spans="18:31" ht="75" customHeight="1">
      <c r="R2679" s="1"/>
      <c r="S2679" s="1"/>
      <c r="AD2679" s="1"/>
      <c r="AE2679" s="1"/>
    </row>
    <row r="2680" spans="18:31" ht="75" customHeight="1">
      <c r="R2680" s="1"/>
      <c r="S2680" s="1"/>
      <c r="AD2680" s="1"/>
      <c r="AE2680" s="1"/>
    </row>
    <row r="2681" spans="18:31" ht="75" customHeight="1">
      <c r="R2681" s="1"/>
      <c r="S2681" s="1"/>
      <c r="AD2681" s="1"/>
      <c r="AE2681" s="1"/>
    </row>
    <row r="2682" spans="18:31" ht="75" customHeight="1">
      <c r="R2682" s="1"/>
      <c r="S2682" s="1"/>
      <c r="AD2682" s="1"/>
      <c r="AE2682" s="1"/>
    </row>
    <row r="2683" spans="18:31" ht="75" customHeight="1">
      <c r="R2683" s="1"/>
      <c r="S2683" s="1"/>
      <c r="AD2683" s="1"/>
      <c r="AE2683" s="1"/>
    </row>
    <row r="2684" spans="18:31" ht="75" customHeight="1">
      <c r="R2684" s="1"/>
      <c r="S2684" s="1"/>
      <c r="AD2684" s="1"/>
      <c r="AE2684" s="1"/>
    </row>
    <row r="2685" spans="18:31" ht="75" customHeight="1">
      <c r="R2685" s="1"/>
      <c r="S2685" s="1"/>
      <c r="AD2685" s="1"/>
      <c r="AE2685" s="1"/>
    </row>
    <row r="2686" spans="18:31" ht="75" customHeight="1">
      <c r="R2686" s="1"/>
      <c r="S2686" s="1"/>
      <c r="AD2686" s="1"/>
      <c r="AE2686" s="1"/>
    </row>
    <row r="2687" spans="18:31" ht="75" customHeight="1">
      <c r="R2687" s="1"/>
      <c r="S2687" s="1"/>
      <c r="AD2687" s="1"/>
      <c r="AE2687" s="1"/>
    </row>
    <row r="2688" spans="18:31" ht="75" customHeight="1">
      <c r="R2688" s="1"/>
      <c r="S2688" s="1"/>
      <c r="AD2688" s="1"/>
      <c r="AE2688" s="1"/>
    </row>
    <row r="2689" spans="18:31" ht="75" customHeight="1">
      <c r="R2689" s="1"/>
      <c r="S2689" s="1"/>
      <c r="AD2689" s="1"/>
      <c r="AE2689" s="1"/>
    </row>
    <row r="2690" spans="18:31" ht="75" customHeight="1">
      <c r="R2690" s="1"/>
      <c r="S2690" s="1"/>
      <c r="AD2690" s="1"/>
      <c r="AE2690" s="1"/>
    </row>
    <row r="2691" spans="18:31" ht="75" customHeight="1">
      <c r="R2691" s="1"/>
      <c r="S2691" s="1"/>
      <c r="AD2691" s="1"/>
      <c r="AE2691" s="1"/>
    </row>
    <row r="2692" spans="18:31" ht="75" customHeight="1">
      <c r="R2692" s="1"/>
      <c r="S2692" s="1"/>
      <c r="AD2692" s="1"/>
      <c r="AE2692" s="1"/>
    </row>
    <row r="2693" spans="18:31" ht="75" customHeight="1">
      <c r="R2693" s="1"/>
      <c r="S2693" s="1"/>
      <c r="AD2693" s="1"/>
      <c r="AE2693" s="1"/>
    </row>
    <row r="2694" spans="18:31" ht="75" customHeight="1">
      <c r="R2694" s="1"/>
      <c r="S2694" s="1"/>
      <c r="AD2694" s="1"/>
      <c r="AE2694" s="1"/>
    </row>
    <row r="2695" spans="18:31" ht="75" customHeight="1">
      <c r="R2695" s="1"/>
      <c r="S2695" s="1"/>
      <c r="AD2695" s="1"/>
      <c r="AE2695" s="1"/>
    </row>
    <row r="2696" spans="18:31" ht="75" customHeight="1">
      <c r="R2696" s="1"/>
      <c r="S2696" s="1"/>
      <c r="AD2696" s="1"/>
      <c r="AE2696" s="1"/>
    </row>
    <row r="2697" spans="18:31" ht="75" customHeight="1">
      <c r="R2697" s="1"/>
      <c r="S2697" s="1"/>
      <c r="AD2697" s="1"/>
      <c r="AE2697" s="1"/>
    </row>
    <row r="2698" spans="18:31" ht="75" customHeight="1">
      <c r="R2698" s="1"/>
      <c r="S2698" s="1"/>
      <c r="AD2698" s="1"/>
      <c r="AE2698" s="1"/>
    </row>
    <row r="2699" spans="18:31" ht="75" customHeight="1">
      <c r="R2699" s="1"/>
      <c r="S2699" s="1"/>
      <c r="AD2699" s="1"/>
      <c r="AE2699" s="1"/>
    </row>
    <row r="2700" spans="18:31" ht="75" customHeight="1">
      <c r="R2700" s="1"/>
      <c r="S2700" s="1"/>
      <c r="AD2700" s="1"/>
      <c r="AE2700" s="1"/>
    </row>
    <row r="2701" spans="18:31" ht="75" customHeight="1">
      <c r="R2701" s="1"/>
      <c r="S2701" s="1"/>
      <c r="AD2701" s="1"/>
      <c r="AE2701" s="1"/>
    </row>
    <row r="2702" spans="18:31" ht="75" customHeight="1">
      <c r="R2702" s="1"/>
      <c r="S2702" s="1"/>
      <c r="AD2702" s="1"/>
      <c r="AE2702" s="1"/>
    </row>
    <row r="2703" spans="18:31" ht="75" customHeight="1">
      <c r="R2703" s="1"/>
      <c r="S2703" s="1"/>
      <c r="AD2703" s="1"/>
      <c r="AE2703" s="1"/>
    </row>
    <row r="2704" spans="18:31" ht="75" customHeight="1">
      <c r="R2704" s="1"/>
      <c r="S2704" s="1"/>
      <c r="AD2704" s="1"/>
      <c r="AE2704" s="1"/>
    </row>
    <row r="2705" spans="18:31" ht="75" customHeight="1">
      <c r="R2705" s="1"/>
      <c r="S2705" s="1"/>
      <c r="AD2705" s="1"/>
      <c r="AE2705" s="1"/>
    </row>
    <row r="2706" spans="18:31" ht="75" customHeight="1">
      <c r="R2706" s="1"/>
      <c r="S2706" s="1"/>
      <c r="AD2706" s="1"/>
      <c r="AE2706" s="1"/>
    </row>
    <row r="2707" spans="18:31" ht="75" customHeight="1">
      <c r="R2707" s="1"/>
      <c r="S2707" s="1"/>
      <c r="AD2707" s="1"/>
      <c r="AE2707" s="1"/>
    </row>
    <row r="2708" spans="18:31" ht="75" customHeight="1">
      <c r="R2708" s="1"/>
      <c r="S2708" s="1"/>
      <c r="AD2708" s="1"/>
      <c r="AE2708" s="1"/>
    </row>
    <row r="2709" spans="18:31" ht="75" customHeight="1">
      <c r="R2709" s="1"/>
      <c r="S2709" s="1"/>
      <c r="AD2709" s="1"/>
      <c r="AE2709" s="1"/>
    </row>
    <row r="2710" spans="18:31" ht="75" customHeight="1">
      <c r="R2710" s="1"/>
      <c r="S2710" s="1"/>
      <c r="AD2710" s="1"/>
      <c r="AE2710" s="1"/>
    </row>
    <row r="2711" spans="18:31" ht="75" customHeight="1">
      <c r="R2711" s="1"/>
      <c r="S2711" s="1"/>
      <c r="AD2711" s="1"/>
      <c r="AE2711" s="1"/>
    </row>
    <row r="2712" spans="18:31" ht="75" customHeight="1">
      <c r="R2712" s="1"/>
      <c r="S2712" s="1"/>
      <c r="AD2712" s="1"/>
      <c r="AE2712" s="1"/>
    </row>
    <row r="2713" spans="18:31" ht="75" customHeight="1">
      <c r="R2713" s="1"/>
      <c r="S2713" s="1"/>
      <c r="AD2713" s="1"/>
      <c r="AE2713" s="1"/>
    </row>
    <row r="2714" spans="18:31" ht="75" customHeight="1">
      <c r="R2714" s="1"/>
      <c r="S2714" s="1"/>
      <c r="AD2714" s="1"/>
      <c r="AE2714" s="1"/>
    </row>
    <row r="2715" spans="18:31" ht="75" customHeight="1">
      <c r="R2715" s="1"/>
      <c r="S2715" s="1"/>
      <c r="AD2715" s="1"/>
      <c r="AE2715" s="1"/>
    </row>
    <row r="2716" spans="18:31" ht="75" customHeight="1">
      <c r="R2716" s="1"/>
      <c r="S2716" s="1"/>
      <c r="AD2716" s="1"/>
      <c r="AE2716" s="1"/>
    </row>
    <row r="2717" spans="18:31" ht="75" customHeight="1">
      <c r="R2717" s="1"/>
      <c r="S2717" s="1"/>
      <c r="AD2717" s="1"/>
      <c r="AE2717" s="1"/>
    </row>
    <row r="2718" spans="18:31" ht="75" customHeight="1">
      <c r="R2718" s="1"/>
      <c r="S2718" s="1"/>
      <c r="AD2718" s="1"/>
      <c r="AE2718" s="1"/>
    </row>
    <row r="2719" spans="18:31" ht="75" customHeight="1">
      <c r="R2719" s="1"/>
      <c r="S2719" s="1"/>
      <c r="AD2719" s="1"/>
      <c r="AE2719" s="1"/>
    </row>
    <row r="2720" spans="18:31" ht="75" customHeight="1">
      <c r="R2720" s="1"/>
      <c r="S2720" s="1"/>
      <c r="AD2720" s="1"/>
      <c r="AE2720" s="1"/>
    </row>
    <row r="2721" spans="18:31" ht="75" customHeight="1">
      <c r="R2721" s="1"/>
      <c r="S2721" s="1"/>
      <c r="AD2721" s="1"/>
      <c r="AE2721" s="1"/>
    </row>
    <row r="2722" spans="18:31" ht="75" customHeight="1">
      <c r="R2722" s="1"/>
      <c r="S2722" s="1"/>
      <c r="AD2722" s="1"/>
      <c r="AE2722" s="1"/>
    </row>
    <row r="2723" spans="18:31" ht="75" customHeight="1">
      <c r="R2723" s="1"/>
      <c r="S2723" s="1"/>
      <c r="AD2723" s="1"/>
      <c r="AE2723" s="1"/>
    </row>
    <row r="2724" spans="18:31" ht="75" customHeight="1">
      <c r="R2724" s="1"/>
      <c r="S2724" s="1"/>
      <c r="AD2724" s="1"/>
      <c r="AE2724" s="1"/>
    </row>
    <row r="2725" spans="18:31" ht="75" customHeight="1">
      <c r="R2725" s="1"/>
      <c r="S2725" s="1"/>
      <c r="AD2725" s="1"/>
      <c r="AE2725" s="1"/>
    </row>
    <row r="2726" spans="18:31" ht="75" customHeight="1">
      <c r="R2726" s="1"/>
      <c r="S2726" s="1"/>
      <c r="AD2726" s="1"/>
      <c r="AE2726" s="1"/>
    </row>
    <row r="2727" spans="18:31" ht="75" customHeight="1">
      <c r="R2727" s="1"/>
      <c r="S2727" s="1"/>
      <c r="AD2727" s="1"/>
      <c r="AE2727" s="1"/>
    </row>
    <row r="2728" spans="18:31" ht="75" customHeight="1">
      <c r="R2728" s="1"/>
      <c r="S2728" s="1"/>
      <c r="AD2728" s="1"/>
      <c r="AE2728" s="1"/>
    </row>
    <row r="2729" spans="18:31" ht="75" customHeight="1">
      <c r="R2729" s="1"/>
      <c r="S2729" s="1"/>
      <c r="AD2729" s="1"/>
      <c r="AE2729" s="1"/>
    </row>
    <row r="2730" spans="18:31" ht="75" customHeight="1">
      <c r="R2730" s="1"/>
      <c r="S2730" s="1"/>
      <c r="AD2730" s="1"/>
      <c r="AE2730" s="1"/>
    </row>
    <row r="2731" spans="18:31" ht="75" customHeight="1">
      <c r="R2731" s="1"/>
      <c r="S2731" s="1"/>
      <c r="AD2731" s="1"/>
      <c r="AE2731" s="1"/>
    </row>
    <row r="2732" spans="18:31" ht="75" customHeight="1">
      <c r="R2732" s="1"/>
      <c r="S2732" s="1"/>
      <c r="AD2732" s="1"/>
      <c r="AE2732" s="1"/>
    </row>
    <row r="2733" spans="18:31" ht="75" customHeight="1">
      <c r="R2733" s="1"/>
      <c r="S2733" s="1"/>
      <c r="AD2733" s="1"/>
      <c r="AE2733" s="1"/>
    </row>
    <row r="2734" spans="18:31" ht="75" customHeight="1">
      <c r="R2734" s="1"/>
      <c r="S2734" s="1"/>
      <c r="AD2734" s="1"/>
      <c r="AE2734" s="1"/>
    </row>
    <row r="2735" spans="18:31" ht="75" customHeight="1">
      <c r="R2735" s="1"/>
      <c r="S2735" s="1"/>
      <c r="AD2735" s="1"/>
      <c r="AE2735" s="1"/>
    </row>
    <row r="2736" spans="18:31" ht="75" customHeight="1">
      <c r="R2736" s="1"/>
      <c r="S2736" s="1"/>
      <c r="AD2736" s="1"/>
      <c r="AE2736" s="1"/>
    </row>
    <row r="2737" spans="18:31" ht="75" customHeight="1">
      <c r="R2737" s="1"/>
      <c r="S2737" s="1"/>
      <c r="AD2737" s="1"/>
      <c r="AE2737" s="1"/>
    </row>
    <row r="2738" spans="18:31" ht="75" customHeight="1">
      <c r="R2738" s="1"/>
      <c r="S2738" s="1"/>
      <c r="AD2738" s="1"/>
      <c r="AE2738" s="1"/>
    </row>
    <row r="2739" spans="18:31" ht="75" customHeight="1">
      <c r="R2739" s="1"/>
      <c r="S2739" s="1"/>
      <c r="AD2739" s="1"/>
      <c r="AE2739" s="1"/>
    </row>
    <row r="2740" spans="18:31" ht="75" customHeight="1">
      <c r="R2740" s="1"/>
      <c r="S2740" s="1"/>
      <c r="AD2740" s="1"/>
      <c r="AE2740" s="1"/>
    </row>
    <row r="2741" spans="18:31" ht="75" customHeight="1">
      <c r="R2741" s="1"/>
      <c r="S2741" s="1"/>
      <c r="AD2741" s="1"/>
      <c r="AE2741" s="1"/>
    </row>
    <row r="2742" spans="18:31" ht="75" customHeight="1">
      <c r="R2742" s="1"/>
      <c r="S2742" s="1"/>
      <c r="AD2742" s="1"/>
      <c r="AE2742" s="1"/>
    </row>
    <row r="2743" spans="18:31" ht="75" customHeight="1">
      <c r="R2743" s="1"/>
      <c r="S2743" s="1"/>
      <c r="AD2743" s="1"/>
      <c r="AE2743" s="1"/>
    </row>
    <row r="2744" spans="18:31" ht="75" customHeight="1">
      <c r="R2744" s="1"/>
      <c r="S2744" s="1"/>
      <c r="AD2744" s="1"/>
      <c r="AE2744" s="1"/>
    </row>
    <row r="2745" spans="18:31" ht="75" customHeight="1">
      <c r="R2745" s="1"/>
      <c r="S2745" s="1"/>
      <c r="AD2745" s="1"/>
      <c r="AE2745" s="1"/>
    </row>
    <row r="2746" spans="18:31" ht="75" customHeight="1">
      <c r="R2746" s="1"/>
      <c r="S2746" s="1"/>
      <c r="AD2746" s="1"/>
      <c r="AE2746" s="1"/>
    </row>
    <row r="2747" spans="18:31" ht="75" customHeight="1">
      <c r="R2747" s="1"/>
      <c r="S2747" s="1"/>
      <c r="AD2747" s="1"/>
      <c r="AE2747" s="1"/>
    </row>
    <row r="2748" spans="18:31" ht="75" customHeight="1">
      <c r="R2748" s="1"/>
      <c r="S2748" s="1"/>
      <c r="AD2748" s="1"/>
      <c r="AE2748" s="1"/>
    </row>
    <row r="2749" spans="18:31" ht="75" customHeight="1">
      <c r="R2749" s="1"/>
      <c r="S2749" s="1"/>
      <c r="AD2749" s="1"/>
      <c r="AE2749" s="1"/>
    </row>
    <row r="2750" spans="18:31" ht="75" customHeight="1">
      <c r="R2750" s="1"/>
      <c r="S2750" s="1"/>
      <c r="AD2750" s="1"/>
      <c r="AE2750" s="1"/>
    </row>
    <row r="2751" spans="18:31" ht="75" customHeight="1">
      <c r="R2751" s="1"/>
      <c r="S2751" s="1"/>
      <c r="AD2751" s="1"/>
      <c r="AE2751" s="1"/>
    </row>
    <row r="2752" spans="18:31" ht="75" customHeight="1">
      <c r="R2752" s="1"/>
      <c r="S2752" s="1"/>
      <c r="AD2752" s="1"/>
      <c r="AE2752" s="1"/>
    </row>
    <row r="2753" spans="18:31" ht="75" customHeight="1">
      <c r="R2753" s="1"/>
      <c r="S2753" s="1"/>
      <c r="AD2753" s="1"/>
      <c r="AE2753" s="1"/>
    </row>
    <row r="2754" spans="18:31" ht="75" customHeight="1">
      <c r="R2754" s="1"/>
      <c r="S2754" s="1"/>
      <c r="AD2754" s="1"/>
      <c r="AE2754" s="1"/>
    </row>
    <row r="2755" spans="18:31" ht="75" customHeight="1">
      <c r="R2755" s="1"/>
      <c r="S2755" s="1"/>
      <c r="AD2755" s="1"/>
      <c r="AE2755" s="1"/>
    </row>
    <row r="2756" spans="18:31" ht="75" customHeight="1">
      <c r="R2756" s="1"/>
      <c r="S2756" s="1"/>
      <c r="AD2756" s="1"/>
      <c r="AE2756" s="1"/>
    </row>
    <row r="2757" spans="18:31" ht="75" customHeight="1">
      <c r="R2757" s="1"/>
      <c r="S2757" s="1"/>
      <c r="AD2757" s="1"/>
      <c r="AE2757" s="1"/>
    </row>
    <row r="2758" spans="18:31" ht="75" customHeight="1">
      <c r="R2758" s="1"/>
      <c r="S2758" s="1"/>
      <c r="AD2758" s="1"/>
      <c r="AE2758" s="1"/>
    </row>
    <row r="2759" spans="18:31" ht="75" customHeight="1">
      <c r="R2759" s="1"/>
      <c r="S2759" s="1"/>
      <c r="AD2759" s="1"/>
      <c r="AE2759" s="1"/>
    </row>
    <row r="2760" spans="18:31" ht="75" customHeight="1">
      <c r="R2760" s="1"/>
      <c r="S2760" s="1"/>
      <c r="AD2760" s="1"/>
      <c r="AE2760" s="1"/>
    </row>
    <row r="2761" spans="18:31" ht="75" customHeight="1">
      <c r="R2761" s="1"/>
      <c r="S2761" s="1"/>
      <c r="AD2761" s="1"/>
      <c r="AE2761" s="1"/>
    </row>
    <row r="2762" spans="18:31" ht="75" customHeight="1">
      <c r="R2762" s="1"/>
      <c r="S2762" s="1"/>
      <c r="AD2762" s="1"/>
      <c r="AE2762" s="1"/>
    </row>
    <row r="2763" spans="18:31" ht="75" customHeight="1">
      <c r="R2763" s="1"/>
      <c r="S2763" s="1"/>
      <c r="AD2763" s="1"/>
      <c r="AE2763" s="1"/>
    </row>
    <row r="2764" spans="18:31" ht="75" customHeight="1">
      <c r="R2764" s="1"/>
      <c r="S2764" s="1"/>
      <c r="AD2764" s="1"/>
      <c r="AE2764" s="1"/>
    </row>
    <row r="2765" spans="18:31" ht="75" customHeight="1">
      <c r="R2765" s="1"/>
      <c r="S2765" s="1"/>
      <c r="AD2765" s="1"/>
      <c r="AE2765" s="1"/>
    </row>
    <row r="2766" spans="18:31" ht="75" customHeight="1">
      <c r="R2766" s="1"/>
      <c r="S2766" s="1"/>
      <c r="AD2766" s="1"/>
      <c r="AE2766" s="1"/>
    </row>
    <row r="2767" spans="18:31" ht="75" customHeight="1">
      <c r="R2767" s="1"/>
      <c r="S2767" s="1"/>
      <c r="AD2767" s="1"/>
      <c r="AE2767" s="1"/>
    </row>
    <row r="2768" spans="18:31" ht="75" customHeight="1">
      <c r="R2768" s="1"/>
      <c r="S2768" s="1"/>
      <c r="AD2768" s="1"/>
      <c r="AE2768" s="1"/>
    </row>
    <row r="2769" spans="18:31" ht="75" customHeight="1">
      <c r="R2769" s="1"/>
      <c r="S2769" s="1"/>
      <c r="AD2769" s="1"/>
      <c r="AE2769" s="1"/>
    </row>
    <row r="2770" spans="18:31" ht="75" customHeight="1">
      <c r="R2770" s="1"/>
      <c r="S2770" s="1"/>
      <c r="AD2770" s="1"/>
      <c r="AE2770" s="1"/>
    </row>
    <row r="2771" spans="18:31" ht="75" customHeight="1">
      <c r="R2771" s="1"/>
      <c r="S2771" s="1"/>
      <c r="AD2771" s="1"/>
      <c r="AE2771" s="1"/>
    </row>
    <row r="2772" spans="18:31" ht="75" customHeight="1">
      <c r="R2772" s="1"/>
      <c r="S2772" s="1"/>
      <c r="AD2772" s="1"/>
      <c r="AE2772" s="1"/>
    </row>
    <row r="2773" spans="18:31" ht="75" customHeight="1">
      <c r="R2773" s="1"/>
      <c r="S2773" s="1"/>
      <c r="AD2773" s="1"/>
      <c r="AE2773" s="1"/>
    </row>
    <row r="2774" spans="18:31" ht="75" customHeight="1">
      <c r="R2774" s="1"/>
      <c r="S2774" s="1"/>
      <c r="AD2774" s="1"/>
      <c r="AE2774" s="1"/>
    </row>
    <row r="2775" spans="18:31" ht="75" customHeight="1">
      <c r="R2775" s="1"/>
      <c r="S2775" s="1"/>
      <c r="AD2775" s="1"/>
      <c r="AE2775" s="1"/>
    </row>
    <row r="2776" spans="18:31" ht="75" customHeight="1">
      <c r="R2776" s="1"/>
      <c r="S2776" s="1"/>
      <c r="AD2776" s="1"/>
      <c r="AE2776" s="1"/>
    </row>
    <row r="2777" spans="18:31" ht="75" customHeight="1">
      <c r="R2777" s="1"/>
      <c r="S2777" s="1"/>
      <c r="AD2777" s="1"/>
      <c r="AE2777" s="1"/>
    </row>
    <row r="2778" spans="18:31" ht="75" customHeight="1">
      <c r="R2778" s="1"/>
      <c r="S2778" s="1"/>
      <c r="AD2778" s="1"/>
      <c r="AE2778" s="1"/>
    </row>
    <row r="2779" spans="18:31" ht="75" customHeight="1">
      <c r="R2779" s="1"/>
      <c r="S2779" s="1"/>
      <c r="AD2779" s="1"/>
      <c r="AE2779" s="1"/>
    </row>
    <row r="2780" spans="18:31" ht="75" customHeight="1">
      <c r="R2780" s="1"/>
      <c r="S2780" s="1"/>
      <c r="AD2780" s="1"/>
      <c r="AE2780" s="1"/>
    </row>
    <row r="2781" spans="18:31" ht="75" customHeight="1">
      <c r="R2781" s="1"/>
      <c r="S2781" s="1"/>
      <c r="AD2781" s="1"/>
      <c r="AE2781" s="1"/>
    </row>
    <row r="2782" spans="18:31" ht="75" customHeight="1">
      <c r="R2782" s="1"/>
      <c r="S2782" s="1"/>
      <c r="AD2782" s="1"/>
      <c r="AE2782" s="1"/>
    </row>
    <row r="2783" spans="18:31" ht="75" customHeight="1">
      <c r="R2783" s="1"/>
      <c r="S2783" s="1"/>
      <c r="AD2783" s="1"/>
      <c r="AE2783" s="1"/>
    </row>
    <row r="2784" spans="18:31" ht="75" customHeight="1">
      <c r="R2784" s="1"/>
      <c r="S2784" s="1"/>
      <c r="AD2784" s="1"/>
      <c r="AE2784" s="1"/>
    </row>
    <row r="2785" spans="18:31" ht="75" customHeight="1">
      <c r="R2785" s="1"/>
      <c r="S2785" s="1"/>
      <c r="AD2785" s="1"/>
      <c r="AE2785" s="1"/>
    </row>
    <row r="2786" spans="18:31" ht="75" customHeight="1">
      <c r="R2786" s="1"/>
      <c r="S2786" s="1"/>
      <c r="AD2786" s="1"/>
      <c r="AE2786" s="1"/>
    </row>
    <row r="2787" spans="18:31" ht="75" customHeight="1">
      <c r="R2787" s="1"/>
      <c r="S2787" s="1"/>
      <c r="AD2787" s="1"/>
      <c r="AE2787" s="1"/>
    </row>
    <row r="2788" spans="18:31" ht="75" customHeight="1">
      <c r="R2788" s="1"/>
      <c r="S2788" s="1"/>
      <c r="AD2788" s="1"/>
      <c r="AE2788" s="1"/>
    </row>
    <row r="2789" spans="18:31" ht="75" customHeight="1">
      <c r="R2789" s="1"/>
      <c r="S2789" s="1"/>
      <c r="AD2789" s="1"/>
      <c r="AE2789" s="1"/>
    </row>
    <row r="2790" spans="18:31" ht="75" customHeight="1">
      <c r="R2790" s="1"/>
      <c r="S2790" s="1"/>
      <c r="AD2790" s="1"/>
      <c r="AE2790" s="1"/>
    </row>
    <row r="2791" spans="18:31" ht="75" customHeight="1">
      <c r="R2791" s="1"/>
      <c r="S2791" s="1"/>
      <c r="AD2791" s="1"/>
      <c r="AE2791" s="1"/>
    </row>
    <row r="2792" spans="18:31" ht="75" customHeight="1">
      <c r="R2792" s="1"/>
      <c r="S2792" s="1"/>
      <c r="AD2792" s="1"/>
      <c r="AE2792" s="1"/>
    </row>
    <row r="2793" spans="18:31" ht="75" customHeight="1">
      <c r="R2793" s="1"/>
      <c r="S2793" s="1"/>
      <c r="AD2793" s="1"/>
      <c r="AE2793" s="1"/>
    </row>
    <row r="2794" spans="18:31" ht="75" customHeight="1">
      <c r="R2794" s="1"/>
      <c r="S2794" s="1"/>
      <c r="AD2794" s="1"/>
      <c r="AE2794" s="1"/>
    </row>
    <row r="2795" spans="18:31" ht="75" customHeight="1">
      <c r="R2795" s="1"/>
      <c r="S2795" s="1"/>
      <c r="AD2795" s="1"/>
      <c r="AE2795" s="1"/>
    </row>
    <row r="2796" spans="18:31" ht="75" customHeight="1">
      <c r="R2796" s="1"/>
      <c r="S2796" s="1"/>
      <c r="AD2796" s="1"/>
      <c r="AE2796" s="1"/>
    </row>
    <row r="2797" spans="18:31" ht="75" customHeight="1">
      <c r="R2797" s="1"/>
      <c r="S2797" s="1"/>
      <c r="AD2797" s="1"/>
      <c r="AE2797" s="1"/>
    </row>
    <row r="2798" spans="18:31" ht="75" customHeight="1">
      <c r="R2798" s="1"/>
      <c r="S2798" s="1"/>
      <c r="AD2798" s="1"/>
      <c r="AE2798" s="1"/>
    </row>
    <row r="2799" spans="18:31" ht="75" customHeight="1">
      <c r="R2799" s="1"/>
      <c r="S2799" s="1"/>
      <c r="AD2799" s="1"/>
      <c r="AE2799" s="1"/>
    </row>
    <row r="2800" spans="18:31" ht="75" customHeight="1">
      <c r="R2800" s="1"/>
      <c r="S2800" s="1"/>
      <c r="AD2800" s="1"/>
      <c r="AE2800" s="1"/>
    </row>
    <row r="2801" spans="18:31" ht="75" customHeight="1">
      <c r="R2801" s="1"/>
      <c r="S2801" s="1"/>
      <c r="AD2801" s="1"/>
      <c r="AE2801" s="1"/>
    </row>
    <row r="2802" spans="18:31" ht="75" customHeight="1">
      <c r="R2802" s="1"/>
      <c r="S2802" s="1"/>
      <c r="AD2802" s="1"/>
      <c r="AE2802" s="1"/>
    </row>
    <row r="2803" spans="18:31" ht="75" customHeight="1">
      <c r="R2803" s="1"/>
      <c r="S2803" s="1"/>
      <c r="AD2803" s="1"/>
      <c r="AE2803" s="1"/>
    </row>
    <row r="2804" spans="18:31" ht="75" customHeight="1">
      <c r="R2804" s="1"/>
      <c r="S2804" s="1"/>
      <c r="AD2804" s="1"/>
      <c r="AE2804" s="1"/>
    </row>
    <row r="2805" spans="18:31" ht="75" customHeight="1">
      <c r="R2805" s="1"/>
      <c r="S2805" s="1"/>
      <c r="AD2805" s="1"/>
      <c r="AE2805" s="1"/>
    </row>
    <row r="2806" spans="18:31" ht="75" customHeight="1">
      <c r="R2806" s="1"/>
      <c r="S2806" s="1"/>
      <c r="AD2806" s="1"/>
      <c r="AE2806" s="1"/>
    </row>
    <row r="2807" spans="18:31" ht="75" customHeight="1">
      <c r="R2807" s="1"/>
      <c r="S2807" s="1"/>
      <c r="AD2807" s="1"/>
      <c r="AE2807" s="1"/>
    </row>
    <row r="2808" spans="18:31" ht="75" customHeight="1">
      <c r="R2808" s="1"/>
      <c r="S2808" s="1"/>
      <c r="AD2808" s="1"/>
      <c r="AE2808" s="1"/>
    </row>
    <row r="2809" spans="18:31" ht="75" customHeight="1">
      <c r="R2809" s="1"/>
      <c r="S2809" s="1"/>
      <c r="AD2809" s="1"/>
      <c r="AE2809" s="1"/>
    </row>
    <row r="2810" spans="18:31" ht="75" customHeight="1">
      <c r="R2810" s="1"/>
      <c r="S2810" s="1"/>
      <c r="AD2810" s="1"/>
      <c r="AE2810" s="1"/>
    </row>
    <row r="2811" spans="18:31" ht="75" customHeight="1">
      <c r="R2811" s="1"/>
      <c r="S2811" s="1"/>
      <c r="AD2811" s="1"/>
      <c r="AE2811" s="1"/>
    </row>
    <row r="2812" spans="18:31" ht="75" customHeight="1">
      <c r="R2812" s="1"/>
      <c r="S2812" s="1"/>
      <c r="AD2812" s="1"/>
      <c r="AE2812" s="1"/>
    </row>
    <row r="2813" spans="18:31" ht="75" customHeight="1">
      <c r="R2813" s="1"/>
      <c r="S2813" s="1"/>
      <c r="AD2813" s="1"/>
      <c r="AE2813" s="1"/>
    </row>
    <row r="2814" spans="18:31" ht="75" customHeight="1">
      <c r="R2814" s="1"/>
      <c r="S2814" s="1"/>
      <c r="AD2814" s="1"/>
      <c r="AE2814" s="1"/>
    </row>
    <row r="2815" spans="18:31" ht="75" customHeight="1">
      <c r="R2815" s="1"/>
      <c r="S2815" s="1"/>
      <c r="AD2815" s="1"/>
      <c r="AE2815" s="1"/>
    </row>
    <row r="2816" spans="18:31" ht="75" customHeight="1">
      <c r="R2816" s="1"/>
      <c r="S2816" s="1"/>
      <c r="AD2816" s="1"/>
      <c r="AE2816" s="1"/>
    </row>
    <row r="2817" spans="18:31" ht="75" customHeight="1">
      <c r="R2817" s="1"/>
      <c r="S2817" s="1"/>
      <c r="AD2817" s="1"/>
      <c r="AE2817" s="1"/>
    </row>
    <row r="2818" spans="18:31" ht="75" customHeight="1">
      <c r="R2818" s="1"/>
      <c r="S2818" s="1"/>
      <c r="AD2818" s="1"/>
      <c r="AE2818" s="1"/>
    </row>
    <row r="2819" spans="18:31" ht="75" customHeight="1">
      <c r="R2819" s="1"/>
      <c r="S2819" s="1"/>
      <c r="AD2819" s="1"/>
      <c r="AE2819" s="1"/>
    </row>
    <row r="2820" spans="18:31" ht="75" customHeight="1">
      <c r="R2820" s="1"/>
      <c r="S2820" s="1"/>
      <c r="AD2820" s="1"/>
      <c r="AE2820" s="1"/>
    </row>
    <row r="2821" spans="18:31" ht="75" customHeight="1">
      <c r="R2821" s="1"/>
      <c r="S2821" s="1"/>
      <c r="AD2821" s="1"/>
      <c r="AE2821" s="1"/>
    </row>
    <row r="2822" spans="18:31" ht="75" customHeight="1">
      <c r="R2822" s="1"/>
      <c r="S2822" s="1"/>
      <c r="AD2822" s="1"/>
      <c r="AE2822" s="1"/>
    </row>
    <row r="2823" spans="18:31" ht="75" customHeight="1">
      <c r="R2823" s="1"/>
      <c r="S2823" s="1"/>
      <c r="AD2823" s="1"/>
      <c r="AE2823" s="1"/>
    </row>
    <row r="2824" spans="18:31" ht="75" customHeight="1">
      <c r="R2824" s="1"/>
      <c r="S2824" s="1"/>
      <c r="AD2824" s="1"/>
      <c r="AE2824" s="1"/>
    </row>
    <row r="2825" spans="18:31" ht="75" customHeight="1">
      <c r="R2825" s="1"/>
      <c r="S2825" s="1"/>
      <c r="AD2825" s="1"/>
      <c r="AE2825" s="1"/>
    </row>
    <row r="2826" spans="18:31" ht="75" customHeight="1">
      <c r="R2826" s="1"/>
      <c r="S2826" s="1"/>
      <c r="AD2826" s="1"/>
      <c r="AE2826" s="1"/>
    </row>
    <row r="2827" spans="18:31" ht="75" customHeight="1">
      <c r="R2827" s="1"/>
      <c r="S2827" s="1"/>
      <c r="AD2827" s="1"/>
      <c r="AE2827" s="1"/>
    </row>
    <row r="2828" spans="18:31" ht="75" customHeight="1">
      <c r="R2828" s="1"/>
      <c r="S2828" s="1"/>
      <c r="AD2828" s="1"/>
      <c r="AE2828" s="1"/>
    </row>
    <row r="2829" spans="18:31" ht="75" customHeight="1">
      <c r="R2829" s="1"/>
      <c r="S2829" s="1"/>
      <c r="AD2829" s="1"/>
      <c r="AE2829" s="1"/>
    </row>
    <row r="2830" spans="18:31" ht="75" customHeight="1">
      <c r="R2830" s="1"/>
      <c r="S2830" s="1"/>
      <c r="AD2830" s="1"/>
      <c r="AE2830" s="1"/>
    </row>
    <row r="2831" spans="18:31" ht="75" customHeight="1">
      <c r="R2831" s="1"/>
      <c r="S2831" s="1"/>
      <c r="AD2831" s="1"/>
      <c r="AE2831" s="1"/>
    </row>
    <row r="2832" spans="18:31" ht="75" customHeight="1">
      <c r="R2832" s="1"/>
      <c r="S2832" s="1"/>
      <c r="AD2832" s="1"/>
      <c r="AE2832" s="1"/>
    </row>
    <row r="2833" spans="18:31" ht="75" customHeight="1">
      <c r="R2833" s="1"/>
      <c r="S2833" s="1"/>
      <c r="AD2833" s="1"/>
      <c r="AE2833" s="1"/>
    </row>
    <row r="2834" spans="18:31" ht="75" customHeight="1">
      <c r="R2834" s="1"/>
      <c r="S2834" s="1"/>
      <c r="AD2834" s="1"/>
      <c r="AE2834" s="1"/>
    </row>
    <row r="2835" spans="18:31" ht="75" customHeight="1">
      <c r="R2835" s="1"/>
      <c r="S2835" s="1"/>
      <c r="AD2835" s="1"/>
      <c r="AE2835" s="1"/>
    </row>
    <row r="2836" spans="18:31" ht="75" customHeight="1">
      <c r="R2836" s="1"/>
      <c r="S2836" s="1"/>
      <c r="AD2836" s="1"/>
      <c r="AE2836" s="1"/>
    </row>
    <row r="2837" spans="18:31" ht="75" customHeight="1">
      <c r="R2837" s="1"/>
      <c r="S2837" s="1"/>
      <c r="AD2837" s="1"/>
      <c r="AE2837" s="1"/>
    </row>
    <row r="2838" spans="18:31" ht="75" customHeight="1">
      <c r="R2838" s="1"/>
      <c r="S2838" s="1"/>
      <c r="AD2838" s="1"/>
      <c r="AE2838" s="1"/>
    </row>
    <row r="2839" spans="18:31" ht="75" customHeight="1">
      <c r="R2839" s="1"/>
      <c r="S2839" s="1"/>
      <c r="AD2839" s="1"/>
      <c r="AE2839" s="1"/>
    </row>
    <row r="2840" spans="18:31" ht="75" customHeight="1">
      <c r="R2840" s="1"/>
      <c r="S2840" s="1"/>
      <c r="AD2840" s="1"/>
      <c r="AE2840" s="1"/>
    </row>
    <row r="2841" spans="18:31" ht="75" customHeight="1">
      <c r="R2841" s="1"/>
      <c r="S2841" s="1"/>
      <c r="AD2841" s="1"/>
      <c r="AE2841" s="1"/>
    </row>
    <row r="2842" spans="18:31" ht="75" customHeight="1">
      <c r="R2842" s="1"/>
      <c r="S2842" s="1"/>
      <c r="AD2842" s="1"/>
      <c r="AE2842" s="1"/>
    </row>
    <row r="2843" spans="18:31" ht="75" customHeight="1">
      <c r="R2843" s="1"/>
      <c r="S2843" s="1"/>
      <c r="AD2843" s="1"/>
      <c r="AE2843" s="1"/>
    </row>
    <row r="2844" spans="18:31" ht="75" customHeight="1">
      <c r="R2844" s="1"/>
      <c r="S2844" s="1"/>
      <c r="AD2844" s="1"/>
      <c r="AE2844" s="1"/>
    </row>
    <row r="2845" spans="18:31" ht="75" customHeight="1">
      <c r="R2845" s="1"/>
      <c r="S2845" s="1"/>
      <c r="AD2845" s="1"/>
      <c r="AE2845" s="1"/>
    </row>
    <row r="2846" spans="18:31" ht="75" customHeight="1">
      <c r="R2846" s="1"/>
      <c r="S2846" s="1"/>
      <c r="AD2846" s="1"/>
      <c r="AE2846" s="1"/>
    </row>
    <row r="2847" spans="18:31" ht="75" customHeight="1">
      <c r="R2847" s="1"/>
      <c r="S2847" s="1"/>
      <c r="AD2847" s="1"/>
      <c r="AE2847" s="1"/>
    </row>
    <row r="2848" spans="18:31" ht="75" customHeight="1">
      <c r="R2848" s="1"/>
      <c r="S2848" s="1"/>
      <c r="AD2848" s="1"/>
      <c r="AE2848" s="1"/>
    </row>
    <row r="2849" spans="18:31" ht="75" customHeight="1">
      <c r="R2849" s="1"/>
      <c r="S2849" s="1"/>
      <c r="AD2849" s="1"/>
      <c r="AE2849" s="1"/>
    </row>
    <row r="2850" spans="18:31" ht="75" customHeight="1">
      <c r="R2850" s="1"/>
      <c r="S2850" s="1"/>
      <c r="AD2850" s="1"/>
      <c r="AE2850" s="1"/>
    </row>
    <row r="2851" spans="18:31" ht="75" customHeight="1">
      <c r="R2851" s="1"/>
      <c r="S2851" s="1"/>
      <c r="AD2851" s="1"/>
      <c r="AE2851" s="1"/>
    </row>
    <row r="2852" spans="18:31" ht="75" customHeight="1">
      <c r="R2852" s="1"/>
      <c r="S2852" s="1"/>
      <c r="AD2852" s="1"/>
      <c r="AE2852" s="1"/>
    </row>
    <row r="2853" spans="18:31" ht="75" customHeight="1">
      <c r="R2853" s="1"/>
      <c r="S2853" s="1"/>
      <c r="AD2853" s="1"/>
      <c r="AE2853" s="1"/>
    </row>
    <row r="2854" spans="18:31" ht="75" customHeight="1">
      <c r="R2854" s="1"/>
      <c r="S2854" s="1"/>
      <c r="AD2854" s="1"/>
      <c r="AE2854" s="1"/>
    </row>
    <row r="2855" spans="18:31" ht="75" customHeight="1">
      <c r="R2855" s="1"/>
      <c r="S2855" s="1"/>
      <c r="AD2855" s="1"/>
      <c r="AE2855" s="1"/>
    </row>
    <row r="2856" spans="18:31" ht="75" customHeight="1">
      <c r="R2856" s="1"/>
      <c r="S2856" s="1"/>
      <c r="AD2856" s="1"/>
      <c r="AE2856" s="1"/>
    </row>
    <row r="2857" spans="18:31" ht="75" customHeight="1">
      <c r="R2857" s="1"/>
      <c r="S2857" s="1"/>
      <c r="AD2857" s="1"/>
      <c r="AE2857" s="1"/>
    </row>
    <row r="2858" spans="18:31" ht="75" customHeight="1">
      <c r="R2858" s="1"/>
      <c r="S2858" s="1"/>
      <c r="AD2858" s="1"/>
      <c r="AE2858" s="1"/>
    </row>
    <row r="2859" spans="18:31" ht="75" customHeight="1">
      <c r="R2859" s="1"/>
      <c r="S2859" s="1"/>
      <c r="AD2859" s="1"/>
      <c r="AE2859" s="1"/>
    </row>
    <row r="2860" spans="18:31" ht="75" customHeight="1">
      <c r="R2860" s="1"/>
      <c r="S2860" s="1"/>
      <c r="AD2860" s="1"/>
      <c r="AE2860" s="1"/>
    </row>
    <row r="2861" spans="18:31" ht="75" customHeight="1">
      <c r="R2861" s="1"/>
      <c r="S2861" s="1"/>
      <c r="AD2861" s="1"/>
      <c r="AE2861" s="1"/>
    </row>
    <row r="2862" spans="18:31" ht="75" customHeight="1">
      <c r="R2862" s="1"/>
      <c r="S2862" s="1"/>
      <c r="AD2862" s="1"/>
      <c r="AE2862" s="1"/>
    </row>
    <row r="2863" spans="18:31" ht="75" customHeight="1">
      <c r="R2863" s="1"/>
      <c r="S2863" s="1"/>
      <c r="AD2863" s="1"/>
      <c r="AE2863" s="1"/>
    </row>
    <row r="2864" spans="18:31" ht="75" customHeight="1">
      <c r="R2864" s="1"/>
      <c r="S2864" s="1"/>
      <c r="AD2864" s="1"/>
      <c r="AE2864" s="1"/>
    </row>
    <row r="2865" spans="18:31" ht="75" customHeight="1">
      <c r="R2865" s="1"/>
      <c r="S2865" s="1"/>
      <c r="AD2865" s="1"/>
      <c r="AE2865" s="1"/>
    </row>
    <row r="2866" spans="18:31" ht="75" customHeight="1">
      <c r="R2866" s="1"/>
      <c r="S2866" s="1"/>
      <c r="AD2866" s="1"/>
      <c r="AE2866" s="1"/>
    </row>
    <row r="2867" spans="18:31" ht="75" customHeight="1">
      <c r="R2867" s="1"/>
      <c r="S2867" s="1"/>
      <c r="AD2867" s="1"/>
      <c r="AE2867" s="1"/>
    </row>
    <row r="2868" spans="18:31" ht="75" customHeight="1">
      <c r="R2868" s="1"/>
      <c r="S2868" s="1"/>
      <c r="AD2868" s="1"/>
      <c r="AE2868" s="1"/>
    </row>
    <row r="2869" spans="18:31" ht="75" customHeight="1">
      <c r="R2869" s="1"/>
      <c r="S2869" s="1"/>
      <c r="AD2869" s="1"/>
      <c r="AE2869" s="1"/>
    </row>
    <row r="2870" spans="18:31" ht="75" customHeight="1">
      <c r="R2870" s="1"/>
      <c r="S2870" s="1"/>
      <c r="AD2870" s="1"/>
      <c r="AE2870" s="1"/>
    </row>
    <row r="2871" spans="18:31" ht="75" customHeight="1">
      <c r="R2871" s="1"/>
      <c r="S2871" s="1"/>
      <c r="AD2871" s="1"/>
      <c r="AE2871" s="1"/>
    </row>
    <row r="2872" spans="18:31" ht="75" customHeight="1">
      <c r="R2872" s="1"/>
      <c r="S2872" s="1"/>
      <c r="AD2872" s="1"/>
      <c r="AE2872" s="1"/>
    </row>
    <row r="2873" spans="18:31" ht="75" customHeight="1">
      <c r="R2873" s="1"/>
      <c r="S2873" s="1"/>
      <c r="AD2873" s="1"/>
      <c r="AE2873" s="1"/>
    </row>
    <row r="2874" spans="18:31" ht="75" customHeight="1">
      <c r="R2874" s="1"/>
      <c r="S2874" s="1"/>
      <c r="AD2874" s="1"/>
      <c r="AE2874" s="1"/>
    </row>
    <row r="2875" spans="18:31" ht="75" customHeight="1">
      <c r="R2875" s="1"/>
      <c r="S2875" s="1"/>
      <c r="AD2875" s="1"/>
      <c r="AE2875" s="1"/>
    </row>
    <row r="2876" spans="18:31" ht="75" customHeight="1">
      <c r="R2876" s="1"/>
      <c r="S2876" s="1"/>
      <c r="AD2876" s="1"/>
      <c r="AE2876" s="1"/>
    </row>
    <row r="2877" spans="18:31" ht="75" customHeight="1">
      <c r="R2877" s="1"/>
      <c r="S2877" s="1"/>
      <c r="AD2877" s="1"/>
      <c r="AE2877" s="1"/>
    </row>
    <row r="2878" spans="18:31" ht="75" customHeight="1">
      <c r="R2878" s="1"/>
      <c r="S2878" s="1"/>
      <c r="AD2878" s="1"/>
      <c r="AE2878" s="1"/>
    </row>
    <row r="2879" spans="18:31" ht="75" customHeight="1">
      <c r="R2879" s="1"/>
      <c r="S2879" s="1"/>
      <c r="AD2879" s="1"/>
      <c r="AE2879" s="1"/>
    </row>
    <row r="2880" spans="18:31" ht="75" customHeight="1">
      <c r="R2880" s="1"/>
      <c r="S2880" s="1"/>
      <c r="AD2880" s="1"/>
      <c r="AE2880" s="1"/>
    </row>
    <row r="2881" spans="18:31" ht="75" customHeight="1">
      <c r="R2881" s="1"/>
      <c r="S2881" s="1"/>
      <c r="AD2881" s="1"/>
      <c r="AE2881" s="1"/>
    </row>
    <row r="2882" spans="18:31" ht="75" customHeight="1">
      <c r="R2882" s="1"/>
      <c r="S2882" s="1"/>
      <c r="AD2882" s="1"/>
      <c r="AE2882" s="1"/>
    </row>
    <row r="2883" spans="18:31" ht="75" customHeight="1">
      <c r="R2883" s="1"/>
      <c r="S2883" s="1"/>
      <c r="AD2883" s="1"/>
      <c r="AE2883" s="1"/>
    </row>
    <row r="2884" spans="18:31" ht="75" customHeight="1">
      <c r="R2884" s="1"/>
      <c r="S2884" s="1"/>
      <c r="AD2884" s="1"/>
      <c r="AE2884" s="1"/>
    </row>
    <row r="2885" spans="18:31" ht="75" customHeight="1">
      <c r="R2885" s="1"/>
      <c r="S2885" s="1"/>
      <c r="AD2885" s="1"/>
      <c r="AE2885" s="1"/>
    </row>
    <row r="2886" spans="18:31" ht="75" customHeight="1">
      <c r="R2886" s="1"/>
      <c r="S2886" s="1"/>
      <c r="AD2886" s="1"/>
      <c r="AE2886" s="1"/>
    </row>
    <row r="2887" spans="18:31" ht="75" customHeight="1">
      <c r="R2887" s="1"/>
      <c r="S2887" s="1"/>
      <c r="AD2887" s="1"/>
      <c r="AE2887" s="1"/>
    </row>
    <row r="2888" spans="18:31" ht="75" customHeight="1">
      <c r="R2888" s="1"/>
      <c r="S2888" s="1"/>
      <c r="AD2888" s="1"/>
      <c r="AE2888" s="1"/>
    </row>
    <row r="2889" spans="18:31" ht="75" customHeight="1">
      <c r="R2889" s="1"/>
      <c r="S2889" s="1"/>
      <c r="AD2889" s="1"/>
      <c r="AE2889" s="1"/>
    </row>
    <row r="2890" spans="18:31" ht="75" customHeight="1">
      <c r="R2890" s="1"/>
      <c r="S2890" s="1"/>
      <c r="AD2890" s="1"/>
      <c r="AE2890" s="1"/>
    </row>
    <row r="2891" spans="18:31" ht="75" customHeight="1">
      <c r="R2891" s="1"/>
      <c r="S2891" s="1"/>
      <c r="AD2891" s="1"/>
      <c r="AE2891" s="1"/>
    </row>
    <row r="2892" spans="18:31" ht="75" customHeight="1">
      <c r="R2892" s="1"/>
      <c r="S2892" s="1"/>
      <c r="AD2892" s="1"/>
      <c r="AE2892" s="1"/>
    </row>
    <row r="2893" spans="18:31" ht="75" customHeight="1">
      <c r="R2893" s="1"/>
      <c r="S2893" s="1"/>
      <c r="AD2893" s="1"/>
      <c r="AE2893" s="1"/>
    </row>
    <row r="2894" spans="18:31" ht="75" customHeight="1">
      <c r="R2894" s="1"/>
      <c r="S2894" s="1"/>
      <c r="AD2894" s="1"/>
      <c r="AE2894" s="1"/>
    </row>
    <row r="2895" spans="18:31" ht="75" customHeight="1">
      <c r="R2895" s="1"/>
      <c r="S2895" s="1"/>
      <c r="AD2895" s="1"/>
      <c r="AE2895" s="1"/>
    </row>
    <row r="2896" spans="18:31" ht="75" customHeight="1">
      <c r="R2896" s="1"/>
      <c r="S2896" s="1"/>
      <c r="AD2896" s="1"/>
      <c r="AE2896" s="1"/>
    </row>
    <row r="2897" spans="18:31" ht="75" customHeight="1">
      <c r="R2897" s="1"/>
      <c r="S2897" s="1"/>
      <c r="AD2897" s="1"/>
      <c r="AE2897" s="1"/>
    </row>
    <row r="2898" spans="18:31" ht="75" customHeight="1">
      <c r="R2898" s="1"/>
      <c r="S2898" s="1"/>
      <c r="AD2898" s="1"/>
      <c r="AE2898" s="1"/>
    </row>
    <row r="2899" spans="18:31" ht="75" customHeight="1">
      <c r="R2899" s="1"/>
      <c r="S2899" s="1"/>
      <c r="AD2899" s="1"/>
      <c r="AE2899" s="1"/>
    </row>
    <row r="2900" spans="18:31" ht="75" customHeight="1">
      <c r="R2900" s="1"/>
      <c r="S2900" s="1"/>
      <c r="AD2900" s="1"/>
      <c r="AE2900" s="1"/>
    </row>
    <row r="2901" spans="18:31" ht="75" customHeight="1">
      <c r="R2901" s="1"/>
      <c r="S2901" s="1"/>
      <c r="AD2901" s="1"/>
      <c r="AE2901" s="1"/>
    </row>
    <row r="2902" spans="18:31" ht="75" customHeight="1">
      <c r="R2902" s="1"/>
      <c r="S2902" s="1"/>
      <c r="AD2902" s="1"/>
      <c r="AE2902" s="1"/>
    </row>
    <row r="2903" spans="18:31" ht="75" customHeight="1">
      <c r="R2903" s="1"/>
      <c r="S2903" s="1"/>
      <c r="AD2903" s="1"/>
      <c r="AE2903" s="1"/>
    </row>
    <row r="2904" spans="18:31" ht="75" customHeight="1">
      <c r="R2904" s="1"/>
      <c r="S2904" s="1"/>
      <c r="AD2904" s="1"/>
      <c r="AE2904" s="1"/>
    </row>
    <row r="2905" spans="18:31" ht="75" customHeight="1">
      <c r="R2905" s="1"/>
      <c r="S2905" s="1"/>
      <c r="AD2905" s="1"/>
      <c r="AE2905" s="1"/>
    </row>
    <row r="2906" spans="18:31" ht="75" customHeight="1">
      <c r="R2906" s="1"/>
      <c r="S2906" s="1"/>
      <c r="AD2906" s="1"/>
      <c r="AE2906" s="1"/>
    </row>
    <row r="2907" spans="18:31" ht="75" customHeight="1">
      <c r="R2907" s="1"/>
      <c r="S2907" s="1"/>
      <c r="AD2907" s="1"/>
      <c r="AE2907" s="1"/>
    </row>
    <row r="2908" spans="18:31" ht="75" customHeight="1">
      <c r="R2908" s="1"/>
      <c r="S2908" s="1"/>
      <c r="AD2908" s="1"/>
      <c r="AE2908" s="1"/>
    </row>
    <row r="2909" spans="18:31" ht="75" customHeight="1">
      <c r="R2909" s="1"/>
      <c r="S2909" s="1"/>
      <c r="AD2909" s="1"/>
      <c r="AE2909" s="1"/>
    </row>
    <row r="2910" spans="18:31" ht="75" customHeight="1">
      <c r="R2910" s="1"/>
      <c r="S2910" s="1"/>
      <c r="AD2910" s="1"/>
      <c r="AE2910" s="1"/>
    </row>
    <row r="2911" spans="18:31" ht="75" customHeight="1">
      <c r="R2911" s="1"/>
      <c r="S2911" s="1"/>
      <c r="AD2911" s="1"/>
      <c r="AE2911" s="1"/>
    </row>
    <row r="2912" spans="18:31" ht="75" customHeight="1">
      <c r="R2912" s="1"/>
      <c r="S2912" s="1"/>
      <c r="AD2912" s="1"/>
      <c r="AE2912" s="1"/>
    </row>
    <row r="2913" spans="18:31" ht="75" customHeight="1">
      <c r="R2913" s="1"/>
      <c r="S2913" s="1"/>
      <c r="AD2913" s="1"/>
      <c r="AE2913" s="1"/>
    </row>
    <row r="2914" spans="18:31" ht="75" customHeight="1">
      <c r="R2914" s="1"/>
      <c r="S2914" s="1"/>
      <c r="AD2914" s="1"/>
      <c r="AE2914" s="1"/>
    </row>
    <row r="2915" spans="18:31" ht="75" customHeight="1">
      <c r="R2915" s="1"/>
      <c r="S2915" s="1"/>
      <c r="AD2915" s="1"/>
      <c r="AE2915" s="1"/>
    </row>
    <row r="2916" spans="18:31" ht="75" customHeight="1">
      <c r="R2916" s="1"/>
      <c r="S2916" s="1"/>
      <c r="AD2916" s="1"/>
      <c r="AE2916" s="1"/>
    </row>
    <row r="2917" spans="18:31" ht="75" customHeight="1">
      <c r="R2917" s="1"/>
      <c r="S2917" s="1"/>
      <c r="AD2917" s="1"/>
      <c r="AE2917" s="1"/>
    </row>
    <row r="2918" spans="18:31" ht="75" customHeight="1">
      <c r="R2918" s="1"/>
      <c r="S2918" s="1"/>
      <c r="AD2918" s="1"/>
      <c r="AE2918" s="1"/>
    </row>
    <row r="2919" spans="18:31" ht="75" customHeight="1">
      <c r="R2919" s="1"/>
      <c r="S2919" s="1"/>
      <c r="AD2919" s="1"/>
      <c r="AE2919" s="1"/>
    </row>
    <row r="2920" spans="18:31" ht="75" customHeight="1">
      <c r="R2920" s="1"/>
      <c r="S2920" s="1"/>
      <c r="AD2920" s="1"/>
      <c r="AE2920" s="1"/>
    </row>
    <row r="2921" spans="18:31" ht="75" customHeight="1">
      <c r="R2921" s="1"/>
      <c r="S2921" s="1"/>
      <c r="AD2921" s="1"/>
      <c r="AE2921" s="1"/>
    </row>
    <row r="2922" spans="18:31" ht="75" customHeight="1">
      <c r="R2922" s="1"/>
      <c r="S2922" s="1"/>
      <c r="AD2922" s="1"/>
      <c r="AE2922" s="1"/>
    </row>
    <row r="2923" spans="18:31" ht="75" customHeight="1">
      <c r="R2923" s="1"/>
      <c r="S2923" s="1"/>
      <c r="AD2923" s="1"/>
      <c r="AE2923" s="1"/>
    </row>
    <row r="2924" spans="18:31" ht="75" customHeight="1">
      <c r="R2924" s="1"/>
      <c r="S2924" s="1"/>
      <c r="AD2924" s="1"/>
      <c r="AE2924" s="1"/>
    </row>
    <row r="2925" spans="18:31" ht="75" customHeight="1">
      <c r="R2925" s="1"/>
      <c r="S2925" s="1"/>
      <c r="AD2925" s="1"/>
      <c r="AE2925" s="1"/>
    </row>
    <row r="2926" spans="18:31" ht="75" customHeight="1">
      <c r="R2926" s="1"/>
      <c r="S2926" s="1"/>
      <c r="AD2926" s="1"/>
      <c r="AE2926" s="1"/>
    </row>
    <row r="2927" spans="18:31" ht="75" customHeight="1">
      <c r="R2927" s="1"/>
      <c r="S2927" s="1"/>
      <c r="AD2927" s="1"/>
      <c r="AE2927" s="1"/>
    </row>
    <row r="2928" spans="18:31" ht="75" customHeight="1">
      <c r="R2928" s="1"/>
      <c r="S2928" s="1"/>
      <c r="AD2928" s="1"/>
      <c r="AE2928" s="1"/>
    </row>
    <row r="2929" spans="18:31" ht="75" customHeight="1">
      <c r="R2929" s="1"/>
      <c r="S2929" s="1"/>
      <c r="AD2929" s="1"/>
      <c r="AE2929" s="1"/>
    </row>
    <row r="2930" spans="18:31" ht="75" customHeight="1">
      <c r="R2930" s="1"/>
      <c r="S2930" s="1"/>
      <c r="AD2930" s="1"/>
      <c r="AE2930" s="1"/>
    </row>
    <row r="2931" spans="18:31" ht="75" customHeight="1">
      <c r="R2931" s="1"/>
      <c r="S2931" s="1"/>
      <c r="AD2931" s="1"/>
      <c r="AE2931" s="1"/>
    </row>
    <row r="2932" spans="18:31" ht="75" customHeight="1">
      <c r="R2932" s="1"/>
      <c r="S2932" s="1"/>
      <c r="AD2932" s="1"/>
      <c r="AE2932" s="1"/>
    </row>
    <row r="2933" spans="18:31" ht="75" customHeight="1">
      <c r="R2933" s="1"/>
      <c r="S2933" s="1"/>
      <c r="AD2933" s="1"/>
      <c r="AE2933" s="1"/>
    </row>
    <row r="2934" spans="18:31" ht="75" customHeight="1">
      <c r="R2934" s="1"/>
      <c r="S2934" s="1"/>
      <c r="AD2934" s="1"/>
      <c r="AE2934" s="1"/>
    </row>
    <row r="2935" spans="18:31" ht="75" customHeight="1">
      <c r="R2935" s="1"/>
      <c r="S2935" s="1"/>
      <c r="AD2935" s="1"/>
      <c r="AE2935" s="1"/>
    </row>
    <row r="2936" spans="18:31" ht="75" customHeight="1">
      <c r="R2936" s="1"/>
      <c r="S2936" s="1"/>
      <c r="AD2936" s="1"/>
      <c r="AE2936" s="1"/>
    </row>
    <row r="2937" spans="18:31" ht="75" customHeight="1">
      <c r="R2937" s="1"/>
      <c r="S2937" s="1"/>
      <c r="AD2937" s="1"/>
      <c r="AE2937" s="1"/>
    </row>
    <row r="2938" spans="18:31" ht="75" customHeight="1">
      <c r="R2938" s="1"/>
      <c r="S2938" s="1"/>
      <c r="AD2938" s="1"/>
      <c r="AE2938" s="1"/>
    </row>
    <row r="2939" spans="18:31" ht="75" customHeight="1">
      <c r="R2939" s="1"/>
      <c r="S2939" s="1"/>
      <c r="AD2939" s="1"/>
      <c r="AE2939" s="1"/>
    </row>
    <row r="2940" spans="18:31" ht="75" customHeight="1">
      <c r="R2940" s="1"/>
      <c r="S2940" s="1"/>
      <c r="AD2940" s="1"/>
      <c r="AE2940" s="1"/>
    </row>
    <row r="2941" spans="18:31" ht="75" customHeight="1">
      <c r="R2941" s="1"/>
      <c r="S2941" s="1"/>
      <c r="AD2941" s="1"/>
      <c r="AE2941" s="1"/>
    </row>
    <row r="2942" spans="18:31" ht="75" customHeight="1">
      <c r="R2942" s="1"/>
      <c r="S2942" s="1"/>
      <c r="AD2942" s="1"/>
      <c r="AE2942" s="1"/>
    </row>
    <row r="2943" spans="18:31" ht="75" customHeight="1">
      <c r="R2943" s="1"/>
      <c r="S2943" s="1"/>
      <c r="AD2943" s="1"/>
      <c r="AE2943" s="1"/>
    </row>
    <row r="2944" spans="18:31" ht="75" customHeight="1">
      <c r="R2944" s="1"/>
      <c r="S2944" s="1"/>
      <c r="AD2944" s="1"/>
      <c r="AE2944" s="1"/>
    </row>
    <row r="2945" spans="18:31" ht="75" customHeight="1">
      <c r="R2945" s="1"/>
      <c r="S2945" s="1"/>
      <c r="AD2945" s="1"/>
      <c r="AE2945" s="1"/>
    </row>
    <row r="2946" spans="18:31" ht="75" customHeight="1">
      <c r="R2946" s="1"/>
      <c r="S2946" s="1"/>
      <c r="AD2946" s="1"/>
      <c r="AE2946" s="1"/>
    </row>
    <row r="2947" spans="18:31" ht="75" customHeight="1">
      <c r="R2947" s="1"/>
      <c r="S2947" s="1"/>
      <c r="AD2947" s="1"/>
      <c r="AE2947" s="1"/>
    </row>
    <row r="2948" spans="18:31" ht="75" customHeight="1">
      <c r="R2948" s="1"/>
      <c r="S2948" s="1"/>
      <c r="AD2948" s="1"/>
      <c r="AE2948" s="1"/>
    </row>
    <row r="2949" spans="18:31" ht="75" customHeight="1">
      <c r="R2949" s="1"/>
      <c r="S2949" s="1"/>
      <c r="AD2949" s="1"/>
      <c r="AE2949" s="1"/>
    </row>
    <row r="2950" spans="18:31" ht="75" customHeight="1">
      <c r="R2950" s="1"/>
      <c r="S2950" s="1"/>
      <c r="AD2950" s="1"/>
      <c r="AE2950" s="1"/>
    </row>
    <row r="2951" spans="18:31" ht="75" customHeight="1">
      <c r="R2951" s="1"/>
      <c r="S2951" s="1"/>
      <c r="AD2951" s="1"/>
      <c r="AE2951" s="1"/>
    </row>
    <row r="2952" spans="18:31" ht="75" customHeight="1">
      <c r="R2952" s="1"/>
      <c r="S2952" s="1"/>
      <c r="AD2952" s="1"/>
      <c r="AE2952" s="1"/>
    </row>
    <row r="2953" spans="18:31" ht="75" customHeight="1">
      <c r="R2953" s="1"/>
      <c r="S2953" s="1"/>
      <c r="AD2953" s="1"/>
      <c r="AE2953" s="1"/>
    </row>
    <row r="2954" spans="18:31" ht="75" customHeight="1">
      <c r="R2954" s="1"/>
      <c r="S2954" s="1"/>
      <c r="AD2954" s="1"/>
      <c r="AE2954" s="1"/>
    </row>
    <row r="2955" spans="18:31" ht="75" customHeight="1">
      <c r="R2955" s="1"/>
      <c r="S2955" s="1"/>
      <c r="AD2955" s="1"/>
      <c r="AE2955" s="1"/>
    </row>
    <row r="2956" spans="18:31" ht="75" customHeight="1">
      <c r="R2956" s="1"/>
      <c r="S2956" s="1"/>
      <c r="AD2956" s="1"/>
      <c r="AE2956" s="1"/>
    </row>
    <row r="2957" spans="18:31" ht="75" customHeight="1">
      <c r="R2957" s="1"/>
      <c r="S2957" s="1"/>
      <c r="AD2957" s="1"/>
      <c r="AE2957" s="1"/>
    </row>
    <row r="2958" spans="18:31" ht="75" customHeight="1">
      <c r="R2958" s="1"/>
      <c r="S2958" s="1"/>
      <c r="AD2958" s="1"/>
      <c r="AE2958" s="1"/>
    </row>
    <row r="2959" spans="18:31" ht="75" customHeight="1">
      <c r="R2959" s="1"/>
      <c r="S2959" s="1"/>
      <c r="AD2959" s="1"/>
      <c r="AE2959" s="1"/>
    </row>
    <row r="2960" spans="18:31" ht="75" customHeight="1">
      <c r="R2960" s="1"/>
      <c r="S2960" s="1"/>
      <c r="AD2960" s="1"/>
      <c r="AE2960" s="1"/>
    </row>
    <row r="2961" spans="18:31" ht="75" customHeight="1">
      <c r="R2961" s="1"/>
      <c r="S2961" s="1"/>
      <c r="AD2961" s="1"/>
      <c r="AE2961" s="1"/>
    </row>
    <row r="2962" spans="18:31" ht="75" customHeight="1">
      <c r="R2962" s="1"/>
      <c r="S2962" s="1"/>
      <c r="AD2962" s="1"/>
      <c r="AE2962" s="1"/>
    </row>
    <row r="2963" spans="18:31" ht="75" customHeight="1">
      <c r="R2963" s="1"/>
      <c r="S2963" s="1"/>
      <c r="AD2963" s="1"/>
      <c r="AE2963" s="1"/>
    </row>
    <row r="2964" spans="18:31" ht="75" customHeight="1">
      <c r="R2964" s="1"/>
      <c r="S2964" s="1"/>
      <c r="AD2964" s="1"/>
      <c r="AE2964" s="1"/>
    </row>
    <row r="2965" spans="18:31" ht="75" customHeight="1">
      <c r="R2965" s="1"/>
      <c r="S2965" s="1"/>
      <c r="AD2965" s="1"/>
      <c r="AE2965" s="1"/>
    </row>
    <row r="2966" spans="18:31" ht="75" customHeight="1">
      <c r="R2966" s="1"/>
      <c r="S2966" s="1"/>
      <c r="AD2966" s="1"/>
      <c r="AE2966" s="1"/>
    </row>
    <row r="2967" spans="18:31" ht="75" customHeight="1">
      <c r="R2967" s="1"/>
      <c r="S2967" s="1"/>
      <c r="AD2967" s="1"/>
      <c r="AE2967" s="1"/>
    </row>
    <row r="2968" spans="18:31" ht="75" customHeight="1">
      <c r="R2968" s="1"/>
      <c r="S2968" s="1"/>
      <c r="AD2968" s="1"/>
      <c r="AE2968" s="1"/>
    </row>
    <row r="2969" spans="18:31" ht="75" customHeight="1">
      <c r="R2969" s="1"/>
      <c r="S2969" s="1"/>
      <c r="AD2969" s="1"/>
      <c r="AE2969" s="1"/>
    </row>
    <row r="2970" spans="18:31" ht="75" customHeight="1">
      <c r="R2970" s="1"/>
      <c r="S2970" s="1"/>
      <c r="AD2970" s="1"/>
      <c r="AE2970" s="1"/>
    </row>
    <row r="2971" spans="18:31" ht="75" customHeight="1">
      <c r="R2971" s="1"/>
      <c r="S2971" s="1"/>
      <c r="AD2971" s="1"/>
      <c r="AE2971" s="1"/>
    </row>
    <row r="2972" spans="18:31" ht="75" customHeight="1">
      <c r="R2972" s="1"/>
      <c r="S2972" s="1"/>
      <c r="AD2972" s="1"/>
      <c r="AE2972" s="1"/>
    </row>
    <row r="2973" spans="18:31" ht="75" customHeight="1">
      <c r="R2973" s="1"/>
      <c r="S2973" s="1"/>
      <c r="AD2973" s="1"/>
      <c r="AE2973" s="1"/>
    </row>
    <row r="2974" spans="18:31" ht="75" customHeight="1">
      <c r="R2974" s="1"/>
      <c r="S2974" s="1"/>
      <c r="AD2974" s="1"/>
      <c r="AE2974" s="1"/>
    </row>
    <row r="2975" spans="18:31" ht="75" customHeight="1">
      <c r="R2975" s="1"/>
      <c r="S2975" s="1"/>
      <c r="AD2975" s="1"/>
      <c r="AE2975" s="1"/>
    </row>
    <row r="2976" spans="18:31" ht="75" customHeight="1">
      <c r="R2976" s="1"/>
      <c r="S2976" s="1"/>
      <c r="AD2976" s="1"/>
      <c r="AE2976" s="1"/>
    </row>
    <row r="2977" spans="18:31" ht="75" customHeight="1">
      <c r="R2977" s="1"/>
      <c r="S2977" s="1"/>
      <c r="AD2977" s="1"/>
      <c r="AE2977" s="1"/>
    </row>
    <row r="2978" spans="18:31" ht="75" customHeight="1">
      <c r="R2978" s="1"/>
      <c r="S2978" s="1"/>
      <c r="AD2978" s="1"/>
      <c r="AE2978" s="1"/>
    </row>
    <row r="2979" spans="18:31" ht="75" customHeight="1">
      <c r="R2979" s="1"/>
      <c r="S2979" s="1"/>
      <c r="AD2979" s="1"/>
      <c r="AE2979" s="1"/>
    </row>
    <row r="2980" spans="18:31" ht="75" customHeight="1">
      <c r="R2980" s="1"/>
      <c r="S2980" s="1"/>
      <c r="AD2980" s="1"/>
      <c r="AE2980" s="1"/>
    </row>
    <row r="2981" spans="18:31" ht="75" customHeight="1">
      <c r="R2981" s="1"/>
      <c r="S2981" s="1"/>
      <c r="AD2981" s="1"/>
      <c r="AE2981" s="1"/>
    </row>
    <row r="2982" spans="18:31" ht="75" customHeight="1">
      <c r="R2982" s="1"/>
      <c r="S2982" s="1"/>
      <c r="AD2982" s="1"/>
      <c r="AE2982" s="1"/>
    </row>
    <row r="2983" spans="18:31" ht="75" customHeight="1">
      <c r="R2983" s="1"/>
      <c r="S2983" s="1"/>
      <c r="AD2983" s="1"/>
      <c r="AE2983" s="1"/>
    </row>
    <row r="2984" spans="18:31" ht="75" customHeight="1">
      <c r="R2984" s="1"/>
      <c r="S2984" s="1"/>
      <c r="AD2984" s="1"/>
      <c r="AE2984" s="1"/>
    </row>
    <row r="2985" spans="18:31" ht="75" customHeight="1">
      <c r="R2985" s="1"/>
      <c r="S2985" s="1"/>
      <c r="AD2985" s="1"/>
      <c r="AE2985" s="1"/>
    </row>
    <row r="2986" spans="18:31" ht="75" customHeight="1">
      <c r="R2986" s="1"/>
      <c r="S2986" s="1"/>
      <c r="AD2986" s="1"/>
      <c r="AE2986" s="1"/>
    </row>
    <row r="2987" spans="18:31" ht="75" customHeight="1">
      <c r="R2987" s="1"/>
      <c r="S2987" s="1"/>
      <c r="AD2987" s="1"/>
      <c r="AE2987" s="1"/>
    </row>
    <row r="2988" spans="18:31" ht="75" customHeight="1">
      <c r="R2988" s="1"/>
      <c r="S2988" s="1"/>
      <c r="AD2988" s="1"/>
      <c r="AE2988" s="1"/>
    </row>
    <row r="2989" spans="18:31" ht="75" customHeight="1">
      <c r="R2989" s="1"/>
      <c r="S2989" s="1"/>
      <c r="AD2989" s="1"/>
      <c r="AE2989" s="1"/>
    </row>
    <row r="2990" spans="18:31" ht="75" customHeight="1">
      <c r="R2990" s="1"/>
      <c r="S2990" s="1"/>
      <c r="AD2990" s="1"/>
      <c r="AE2990" s="1"/>
    </row>
    <row r="2991" spans="18:31" ht="75" customHeight="1">
      <c r="R2991" s="1"/>
      <c r="S2991" s="1"/>
      <c r="AD2991" s="1"/>
      <c r="AE2991" s="1"/>
    </row>
    <row r="2992" spans="18:31" ht="75" customHeight="1">
      <c r="R2992" s="1"/>
      <c r="S2992" s="1"/>
      <c r="AD2992" s="1"/>
      <c r="AE2992" s="1"/>
    </row>
    <row r="2993" spans="18:31" ht="75" customHeight="1">
      <c r="R2993" s="1"/>
      <c r="S2993" s="1"/>
      <c r="AD2993" s="1"/>
      <c r="AE2993" s="1"/>
    </row>
    <row r="2994" spans="18:31" ht="75" customHeight="1">
      <c r="R2994" s="1"/>
      <c r="S2994" s="1"/>
      <c r="AD2994" s="1"/>
      <c r="AE2994" s="1"/>
    </row>
    <row r="2995" spans="18:31" ht="75" customHeight="1">
      <c r="R2995" s="1"/>
      <c r="S2995" s="1"/>
      <c r="AD2995" s="1"/>
      <c r="AE2995" s="1"/>
    </row>
    <row r="2996" spans="18:31" ht="75" customHeight="1">
      <c r="R2996" s="1"/>
      <c r="S2996" s="1"/>
      <c r="AD2996" s="1"/>
      <c r="AE2996" s="1"/>
    </row>
    <row r="2997" spans="18:31" ht="75" customHeight="1">
      <c r="R2997" s="1"/>
      <c r="S2997" s="1"/>
      <c r="AD2997" s="1"/>
      <c r="AE2997" s="1"/>
    </row>
    <row r="2998" spans="18:31" ht="75" customHeight="1">
      <c r="R2998" s="1"/>
      <c r="S2998" s="1"/>
      <c r="AD2998" s="1"/>
      <c r="AE2998" s="1"/>
    </row>
    <row r="2999" spans="18:31" ht="75" customHeight="1">
      <c r="R2999" s="1"/>
      <c r="S2999" s="1"/>
      <c r="AD2999" s="1"/>
      <c r="AE2999" s="1"/>
    </row>
    <row r="3000" spans="18:31" ht="75" customHeight="1">
      <c r="R3000" s="1"/>
      <c r="S3000" s="1"/>
      <c r="AD3000" s="1"/>
      <c r="AE3000" s="1"/>
    </row>
    <row r="3001" spans="18:31" ht="75" customHeight="1">
      <c r="R3001" s="1"/>
      <c r="S3001" s="1"/>
      <c r="AD3001" s="1"/>
      <c r="AE3001" s="1"/>
    </row>
    <row r="3002" spans="18:31" ht="75" customHeight="1">
      <c r="R3002" s="1"/>
      <c r="S3002" s="1"/>
      <c r="AD3002" s="1"/>
      <c r="AE3002" s="1"/>
    </row>
    <row r="3003" spans="18:31" ht="75" customHeight="1">
      <c r="R3003" s="1"/>
      <c r="S3003" s="1"/>
      <c r="AD3003" s="1"/>
      <c r="AE3003" s="1"/>
    </row>
    <row r="3004" spans="18:31" ht="75" customHeight="1">
      <c r="R3004" s="1"/>
      <c r="S3004" s="1"/>
      <c r="AD3004" s="1"/>
      <c r="AE3004" s="1"/>
    </row>
    <row r="3005" spans="18:31" ht="75" customHeight="1">
      <c r="R3005" s="1"/>
      <c r="S3005" s="1"/>
      <c r="AD3005" s="1"/>
      <c r="AE3005" s="1"/>
    </row>
    <row r="3006" spans="18:31" ht="75" customHeight="1">
      <c r="R3006" s="1"/>
      <c r="S3006" s="1"/>
      <c r="AD3006" s="1"/>
      <c r="AE3006" s="1"/>
    </row>
    <row r="3007" spans="18:31" ht="75" customHeight="1">
      <c r="R3007" s="1"/>
      <c r="S3007" s="1"/>
      <c r="AD3007" s="1"/>
      <c r="AE3007" s="1"/>
    </row>
    <row r="3008" spans="18:31" ht="75" customHeight="1">
      <c r="R3008" s="1"/>
      <c r="S3008" s="1"/>
      <c r="AD3008" s="1"/>
      <c r="AE3008" s="1"/>
    </row>
    <row r="3009" spans="18:31" ht="75" customHeight="1">
      <c r="R3009" s="1"/>
      <c r="S3009" s="1"/>
      <c r="AD3009" s="1"/>
      <c r="AE3009" s="1"/>
    </row>
    <row r="3010" spans="18:31" ht="75" customHeight="1">
      <c r="R3010" s="1"/>
      <c r="S3010" s="1"/>
      <c r="AD3010" s="1"/>
      <c r="AE3010" s="1"/>
    </row>
    <row r="3011" spans="18:31" ht="75" customHeight="1">
      <c r="R3011" s="1"/>
      <c r="S3011" s="1"/>
      <c r="AD3011" s="1"/>
      <c r="AE3011" s="1"/>
    </row>
    <row r="3012" spans="18:31" ht="75" customHeight="1">
      <c r="R3012" s="1"/>
      <c r="S3012" s="1"/>
      <c r="AD3012" s="1"/>
      <c r="AE3012" s="1"/>
    </row>
    <row r="3013" spans="18:31" ht="75" customHeight="1">
      <c r="R3013" s="1"/>
      <c r="S3013" s="1"/>
      <c r="AD3013" s="1"/>
      <c r="AE3013" s="1"/>
    </row>
    <row r="3014" spans="18:31" ht="75" customHeight="1">
      <c r="R3014" s="1"/>
      <c r="S3014" s="1"/>
      <c r="AD3014" s="1"/>
      <c r="AE3014" s="1"/>
    </row>
    <row r="3015" spans="18:31" ht="75" customHeight="1">
      <c r="R3015" s="1"/>
      <c r="S3015" s="1"/>
      <c r="AD3015" s="1"/>
      <c r="AE3015" s="1"/>
    </row>
    <row r="3016" spans="18:31" ht="75" customHeight="1">
      <c r="R3016" s="1"/>
      <c r="S3016" s="1"/>
      <c r="AD3016" s="1"/>
      <c r="AE3016" s="1"/>
    </row>
    <row r="3017" spans="18:31" ht="75" customHeight="1">
      <c r="R3017" s="1"/>
      <c r="S3017" s="1"/>
      <c r="AD3017" s="1"/>
      <c r="AE3017" s="1"/>
    </row>
    <row r="3018" spans="18:31" ht="75" customHeight="1">
      <c r="R3018" s="1"/>
      <c r="S3018" s="1"/>
      <c r="AD3018" s="1"/>
      <c r="AE3018" s="1"/>
    </row>
    <row r="3019" spans="18:31" ht="75" customHeight="1">
      <c r="R3019" s="1"/>
      <c r="S3019" s="1"/>
      <c r="AD3019" s="1"/>
      <c r="AE3019" s="1"/>
    </row>
    <row r="3020" spans="18:31" ht="75" customHeight="1">
      <c r="R3020" s="1"/>
      <c r="S3020" s="1"/>
      <c r="AD3020" s="1"/>
      <c r="AE3020" s="1"/>
    </row>
    <row r="3021" spans="18:31" ht="75" customHeight="1">
      <c r="R3021" s="1"/>
      <c r="S3021" s="1"/>
      <c r="AD3021" s="1"/>
      <c r="AE3021" s="1"/>
    </row>
    <row r="3022" spans="18:31" ht="75" customHeight="1">
      <c r="R3022" s="1"/>
      <c r="S3022" s="1"/>
      <c r="AD3022" s="1"/>
      <c r="AE3022" s="1"/>
    </row>
    <row r="3023" spans="18:31" ht="75" customHeight="1">
      <c r="R3023" s="1"/>
      <c r="S3023" s="1"/>
      <c r="AD3023" s="1"/>
      <c r="AE3023" s="1"/>
    </row>
    <row r="3024" spans="18:31" ht="75" customHeight="1">
      <c r="R3024" s="1"/>
      <c r="S3024" s="1"/>
      <c r="AD3024" s="1"/>
      <c r="AE3024" s="1"/>
    </row>
    <row r="3025" spans="18:31" ht="75" customHeight="1">
      <c r="R3025" s="1"/>
      <c r="S3025" s="1"/>
      <c r="AD3025" s="1"/>
      <c r="AE3025" s="1"/>
    </row>
    <row r="3026" spans="18:31" ht="75" customHeight="1">
      <c r="R3026" s="1"/>
      <c r="S3026" s="1"/>
      <c r="AD3026" s="1"/>
      <c r="AE3026" s="1"/>
    </row>
    <row r="3027" spans="18:31" ht="75" customHeight="1">
      <c r="R3027" s="1"/>
      <c r="S3027" s="1"/>
      <c r="AD3027" s="1"/>
      <c r="AE3027" s="1"/>
    </row>
    <row r="3028" spans="18:31" ht="75" customHeight="1">
      <c r="R3028" s="1"/>
      <c r="S3028" s="1"/>
      <c r="AD3028" s="1"/>
      <c r="AE3028" s="1"/>
    </row>
    <row r="3029" spans="18:31" ht="75" customHeight="1">
      <c r="R3029" s="1"/>
      <c r="S3029" s="1"/>
      <c r="AD3029" s="1"/>
      <c r="AE3029" s="1"/>
    </row>
    <row r="3030" spans="18:31" ht="75" customHeight="1">
      <c r="R3030" s="1"/>
      <c r="S3030" s="1"/>
      <c r="AD3030" s="1"/>
      <c r="AE3030" s="1"/>
    </row>
    <row r="3031" spans="18:31" ht="75" customHeight="1">
      <c r="R3031" s="1"/>
      <c r="S3031" s="1"/>
      <c r="AD3031" s="1"/>
      <c r="AE3031" s="1"/>
    </row>
    <row r="3032" spans="18:31" ht="75" customHeight="1">
      <c r="R3032" s="1"/>
      <c r="S3032" s="1"/>
      <c r="AD3032" s="1"/>
      <c r="AE3032" s="1"/>
    </row>
    <row r="3033" spans="18:31" ht="75" customHeight="1">
      <c r="R3033" s="1"/>
      <c r="S3033" s="1"/>
      <c r="AD3033" s="1"/>
      <c r="AE3033" s="1"/>
    </row>
    <row r="3034" spans="18:31" ht="75" customHeight="1">
      <c r="R3034" s="1"/>
      <c r="S3034" s="1"/>
      <c r="AD3034" s="1"/>
      <c r="AE3034" s="1"/>
    </row>
    <row r="3035" spans="18:31" ht="75" customHeight="1">
      <c r="R3035" s="1"/>
      <c r="S3035" s="1"/>
      <c r="AD3035" s="1"/>
      <c r="AE3035" s="1"/>
    </row>
    <row r="3036" spans="18:31" ht="75" customHeight="1">
      <c r="R3036" s="1"/>
      <c r="S3036" s="1"/>
      <c r="AD3036" s="1"/>
      <c r="AE3036" s="1"/>
    </row>
    <row r="3037" spans="18:31" ht="75" customHeight="1">
      <c r="R3037" s="1"/>
      <c r="S3037" s="1"/>
      <c r="AD3037" s="1"/>
      <c r="AE3037" s="1"/>
    </row>
    <row r="3038" spans="18:31" ht="75" customHeight="1">
      <c r="R3038" s="1"/>
      <c r="S3038" s="1"/>
      <c r="AD3038" s="1"/>
      <c r="AE3038" s="1"/>
    </row>
    <row r="3039" spans="18:31" ht="75" customHeight="1">
      <c r="R3039" s="1"/>
      <c r="S3039" s="1"/>
      <c r="AD3039" s="1"/>
      <c r="AE3039" s="1"/>
    </row>
    <row r="3040" spans="18:31" ht="75" customHeight="1">
      <c r="R3040" s="1"/>
      <c r="S3040" s="1"/>
      <c r="AD3040" s="1"/>
      <c r="AE3040" s="1"/>
    </row>
    <row r="3041" spans="18:31" ht="75" customHeight="1">
      <c r="R3041" s="1"/>
      <c r="S3041" s="1"/>
      <c r="AD3041" s="1"/>
      <c r="AE3041" s="1"/>
    </row>
    <row r="3042" spans="18:31" ht="75" customHeight="1">
      <c r="R3042" s="1"/>
      <c r="S3042" s="1"/>
      <c r="AD3042" s="1"/>
      <c r="AE3042" s="1"/>
    </row>
    <row r="3043" spans="18:31" ht="75" customHeight="1">
      <c r="R3043" s="1"/>
      <c r="S3043" s="1"/>
      <c r="AD3043" s="1"/>
      <c r="AE3043" s="1"/>
    </row>
    <row r="3044" spans="18:31" ht="75" customHeight="1">
      <c r="R3044" s="1"/>
      <c r="S3044" s="1"/>
      <c r="AD3044" s="1"/>
      <c r="AE3044" s="1"/>
    </row>
    <row r="3045" spans="18:31" ht="75" customHeight="1">
      <c r="R3045" s="1"/>
      <c r="S3045" s="1"/>
      <c r="AD3045" s="1"/>
      <c r="AE3045" s="1"/>
    </row>
    <row r="3046" spans="18:31" ht="75" customHeight="1">
      <c r="R3046" s="1"/>
      <c r="S3046" s="1"/>
      <c r="AD3046" s="1"/>
      <c r="AE3046" s="1"/>
    </row>
    <row r="3047" spans="18:31" ht="75" customHeight="1">
      <c r="R3047" s="1"/>
      <c r="S3047" s="1"/>
      <c r="AD3047" s="1"/>
      <c r="AE3047" s="1"/>
    </row>
    <row r="3048" spans="18:31" ht="75" customHeight="1">
      <c r="R3048" s="1"/>
      <c r="S3048" s="1"/>
      <c r="AD3048" s="1"/>
      <c r="AE3048" s="1"/>
    </row>
    <row r="3049" spans="18:31" ht="75" customHeight="1">
      <c r="R3049" s="1"/>
      <c r="S3049" s="1"/>
      <c r="AD3049" s="1"/>
      <c r="AE3049" s="1"/>
    </row>
    <row r="3050" spans="18:31" ht="75" customHeight="1">
      <c r="R3050" s="1"/>
      <c r="S3050" s="1"/>
      <c r="AD3050" s="1"/>
      <c r="AE3050" s="1"/>
    </row>
    <row r="3051" spans="18:31" ht="75" customHeight="1">
      <c r="R3051" s="1"/>
      <c r="S3051" s="1"/>
      <c r="AD3051" s="1"/>
      <c r="AE3051" s="1"/>
    </row>
    <row r="3052" spans="18:31" ht="75" customHeight="1">
      <c r="R3052" s="1"/>
      <c r="S3052" s="1"/>
      <c r="AD3052" s="1"/>
      <c r="AE3052" s="1"/>
    </row>
    <row r="3053" spans="18:31" ht="75" customHeight="1">
      <c r="R3053" s="1"/>
      <c r="S3053" s="1"/>
      <c r="AD3053" s="1"/>
      <c r="AE3053" s="1"/>
    </row>
    <row r="3054" spans="18:31" ht="75" customHeight="1">
      <c r="R3054" s="1"/>
      <c r="S3054" s="1"/>
      <c r="AD3054" s="1"/>
      <c r="AE3054" s="1"/>
    </row>
    <row r="3055" spans="18:31" ht="75" customHeight="1">
      <c r="R3055" s="1"/>
      <c r="S3055" s="1"/>
      <c r="AD3055" s="1"/>
      <c r="AE3055" s="1"/>
    </row>
    <row r="3056" spans="18:31" ht="75" customHeight="1">
      <c r="R3056" s="1"/>
      <c r="S3056" s="1"/>
      <c r="AD3056" s="1"/>
      <c r="AE3056" s="1"/>
    </row>
    <row r="3057" spans="18:31" ht="75" customHeight="1">
      <c r="R3057" s="1"/>
      <c r="S3057" s="1"/>
      <c r="AD3057" s="1"/>
      <c r="AE3057" s="1"/>
    </row>
    <row r="3058" spans="18:31" ht="75" customHeight="1">
      <c r="R3058" s="1"/>
      <c r="S3058" s="1"/>
      <c r="AD3058" s="1"/>
      <c r="AE3058" s="1"/>
    </row>
    <row r="3059" spans="18:31" ht="75" customHeight="1">
      <c r="R3059" s="1"/>
      <c r="S3059" s="1"/>
      <c r="AD3059" s="1"/>
      <c r="AE3059" s="1"/>
    </row>
    <row r="3060" spans="18:31" ht="75" customHeight="1">
      <c r="R3060" s="1"/>
      <c r="S3060" s="1"/>
      <c r="AD3060" s="1"/>
      <c r="AE3060" s="1"/>
    </row>
    <row r="3061" spans="18:31" ht="75" customHeight="1">
      <c r="R3061" s="1"/>
      <c r="S3061" s="1"/>
      <c r="AD3061" s="1"/>
      <c r="AE3061" s="1"/>
    </row>
    <row r="3062" spans="18:31" ht="75" customHeight="1">
      <c r="R3062" s="1"/>
      <c r="S3062" s="1"/>
      <c r="AD3062" s="1"/>
      <c r="AE3062" s="1"/>
    </row>
    <row r="3063" spans="18:31" ht="75" customHeight="1">
      <c r="R3063" s="1"/>
      <c r="S3063" s="1"/>
      <c r="AD3063" s="1"/>
      <c r="AE3063" s="1"/>
    </row>
    <row r="3064" spans="18:31" ht="75" customHeight="1">
      <c r="R3064" s="1"/>
      <c r="S3064" s="1"/>
      <c r="AD3064" s="1"/>
      <c r="AE3064" s="1"/>
    </row>
    <row r="3065" spans="18:31" ht="75" customHeight="1">
      <c r="R3065" s="1"/>
      <c r="S3065" s="1"/>
      <c r="AD3065" s="1"/>
      <c r="AE3065" s="1"/>
    </row>
    <row r="3066" spans="18:31" ht="75" customHeight="1">
      <c r="R3066" s="1"/>
      <c r="S3066" s="1"/>
      <c r="AD3066" s="1"/>
      <c r="AE3066" s="1"/>
    </row>
    <row r="3067" spans="18:31" ht="75" customHeight="1">
      <c r="R3067" s="1"/>
      <c r="S3067" s="1"/>
      <c r="AD3067" s="1"/>
      <c r="AE3067" s="1"/>
    </row>
    <row r="3068" spans="18:31" ht="75" customHeight="1">
      <c r="R3068" s="1"/>
      <c r="S3068" s="1"/>
      <c r="AD3068" s="1"/>
      <c r="AE3068" s="1"/>
    </row>
    <row r="3069" spans="18:31" ht="75" customHeight="1">
      <c r="R3069" s="1"/>
      <c r="S3069" s="1"/>
      <c r="AD3069" s="1"/>
      <c r="AE3069" s="1"/>
    </row>
    <row r="3070" spans="18:31" ht="75" customHeight="1">
      <c r="R3070" s="1"/>
      <c r="S3070" s="1"/>
      <c r="AD3070" s="1"/>
      <c r="AE3070" s="1"/>
    </row>
    <row r="3071" spans="18:31" ht="75" customHeight="1">
      <c r="R3071" s="1"/>
      <c r="S3071" s="1"/>
      <c r="AD3071" s="1"/>
      <c r="AE3071" s="1"/>
    </row>
    <row r="3072" spans="18:31" ht="75" customHeight="1">
      <c r="R3072" s="1"/>
      <c r="S3072" s="1"/>
      <c r="AD3072" s="1"/>
      <c r="AE3072" s="1"/>
    </row>
    <row r="3073" spans="18:31" ht="75" customHeight="1">
      <c r="R3073" s="1"/>
      <c r="S3073" s="1"/>
      <c r="AD3073" s="1"/>
      <c r="AE3073" s="1"/>
    </row>
    <row r="3074" spans="18:31" ht="75" customHeight="1">
      <c r="R3074" s="1"/>
      <c r="S3074" s="1"/>
      <c r="AD3074" s="1"/>
      <c r="AE3074" s="1"/>
    </row>
    <row r="3075" spans="18:31" ht="75" customHeight="1">
      <c r="R3075" s="1"/>
      <c r="S3075" s="1"/>
      <c r="AD3075" s="1"/>
      <c r="AE3075" s="1"/>
    </row>
    <row r="3076" spans="18:31" ht="75" customHeight="1">
      <c r="R3076" s="1"/>
      <c r="S3076" s="1"/>
      <c r="AD3076" s="1"/>
      <c r="AE3076" s="1"/>
    </row>
    <row r="3077" spans="18:31" ht="75" customHeight="1">
      <c r="R3077" s="1"/>
      <c r="S3077" s="1"/>
      <c r="AD3077" s="1"/>
      <c r="AE3077" s="1"/>
    </row>
    <row r="3078" spans="18:31" ht="75" customHeight="1">
      <c r="R3078" s="1"/>
      <c r="S3078" s="1"/>
      <c r="AD3078" s="1"/>
      <c r="AE3078" s="1"/>
    </row>
    <row r="3079" spans="18:31" ht="75" customHeight="1">
      <c r="R3079" s="1"/>
      <c r="S3079" s="1"/>
      <c r="AD3079" s="1"/>
      <c r="AE3079" s="1"/>
    </row>
    <row r="3080" spans="18:31" ht="75" customHeight="1">
      <c r="R3080" s="1"/>
      <c r="S3080" s="1"/>
      <c r="AD3080" s="1"/>
      <c r="AE3080" s="1"/>
    </row>
    <row r="3081" spans="18:31" ht="75" customHeight="1">
      <c r="R3081" s="1"/>
      <c r="S3081" s="1"/>
      <c r="AD3081" s="1"/>
      <c r="AE3081" s="1"/>
    </row>
    <row r="3082" spans="18:31" ht="75" customHeight="1">
      <c r="R3082" s="1"/>
      <c r="S3082" s="1"/>
      <c r="AD3082" s="1"/>
      <c r="AE3082" s="1"/>
    </row>
    <row r="3083" spans="18:31" ht="75" customHeight="1">
      <c r="R3083" s="1"/>
      <c r="S3083" s="1"/>
      <c r="AD3083" s="1"/>
      <c r="AE3083" s="1"/>
    </row>
    <row r="3084" spans="18:31" ht="75" customHeight="1">
      <c r="R3084" s="1"/>
      <c r="S3084" s="1"/>
      <c r="AD3084" s="1"/>
      <c r="AE3084" s="1"/>
    </row>
    <row r="3085" spans="18:31" ht="75" customHeight="1">
      <c r="R3085" s="1"/>
      <c r="S3085" s="1"/>
      <c r="AD3085" s="1"/>
      <c r="AE3085" s="1"/>
    </row>
    <row r="3086" spans="18:31" ht="75" customHeight="1">
      <c r="R3086" s="1"/>
      <c r="S3086" s="1"/>
      <c r="AD3086" s="1"/>
      <c r="AE3086" s="1"/>
    </row>
    <row r="3087" spans="18:31" ht="75" customHeight="1">
      <c r="R3087" s="1"/>
      <c r="S3087" s="1"/>
      <c r="AD3087" s="1"/>
      <c r="AE3087" s="1"/>
    </row>
    <row r="3088" spans="18:31" ht="75" customHeight="1">
      <c r="R3088" s="1"/>
      <c r="S3088" s="1"/>
      <c r="AD3088" s="1"/>
      <c r="AE3088" s="1"/>
    </row>
    <row r="3089" spans="18:31" ht="75" customHeight="1">
      <c r="R3089" s="1"/>
      <c r="S3089" s="1"/>
      <c r="AD3089" s="1"/>
      <c r="AE3089" s="1"/>
    </row>
    <row r="3090" spans="18:31" ht="75" customHeight="1">
      <c r="R3090" s="1"/>
      <c r="S3090" s="1"/>
      <c r="AD3090" s="1"/>
      <c r="AE3090" s="1"/>
    </row>
    <row r="3091" spans="18:31" ht="75" customHeight="1">
      <c r="R3091" s="1"/>
      <c r="S3091" s="1"/>
      <c r="AD3091" s="1"/>
      <c r="AE3091" s="1"/>
    </row>
    <row r="3092" spans="18:31" ht="75" customHeight="1">
      <c r="R3092" s="1"/>
      <c r="S3092" s="1"/>
      <c r="AD3092" s="1"/>
      <c r="AE3092" s="1"/>
    </row>
    <row r="3093" spans="18:31" ht="75" customHeight="1">
      <c r="R3093" s="1"/>
      <c r="S3093" s="1"/>
      <c r="AD3093" s="1"/>
      <c r="AE3093" s="1"/>
    </row>
    <row r="3094" spans="18:31" ht="75" customHeight="1">
      <c r="R3094" s="1"/>
      <c r="S3094" s="1"/>
      <c r="AD3094" s="1"/>
      <c r="AE3094" s="1"/>
    </row>
    <row r="3095" spans="18:31" ht="75" customHeight="1">
      <c r="R3095" s="1"/>
      <c r="S3095" s="1"/>
      <c r="AD3095" s="1"/>
      <c r="AE3095" s="1"/>
    </row>
    <row r="3096" spans="18:31" ht="75" customHeight="1">
      <c r="R3096" s="1"/>
      <c r="S3096" s="1"/>
      <c r="AD3096" s="1"/>
      <c r="AE3096" s="1"/>
    </row>
    <row r="3097" spans="18:31" ht="75" customHeight="1">
      <c r="R3097" s="1"/>
      <c r="S3097" s="1"/>
      <c r="AD3097" s="1"/>
      <c r="AE3097" s="1"/>
    </row>
    <row r="3098" spans="18:31" ht="75" customHeight="1">
      <c r="R3098" s="1"/>
      <c r="S3098" s="1"/>
      <c r="AD3098" s="1"/>
      <c r="AE3098" s="1"/>
    </row>
    <row r="3099" spans="18:31" ht="75" customHeight="1">
      <c r="R3099" s="1"/>
      <c r="S3099" s="1"/>
      <c r="AD3099" s="1"/>
      <c r="AE3099" s="1"/>
    </row>
    <row r="3100" spans="18:31" ht="75" customHeight="1">
      <c r="R3100" s="1"/>
      <c r="S3100" s="1"/>
      <c r="AD3100" s="1"/>
      <c r="AE3100" s="1"/>
    </row>
    <row r="3101" spans="18:31" ht="75" customHeight="1">
      <c r="R3101" s="1"/>
      <c r="S3101" s="1"/>
      <c r="AD3101" s="1"/>
      <c r="AE3101" s="1"/>
    </row>
    <row r="3102" spans="18:31" ht="75" customHeight="1">
      <c r="R3102" s="1"/>
      <c r="S3102" s="1"/>
      <c r="AD3102" s="1"/>
      <c r="AE3102" s="1"/>
    </row>
    <row r="3103" spans="18:31" ht="75" customHeight="1">
      <c r="R3103" s="1"/>
      <c r="S3103" s="1"/>
      <c r="AD3103" s="1"/>
      <c r="AE3103" s="1"/>
    </row>
    <row r="3104" spans="18:31" ht="75" customHeight="1">
      <c r="R3104" s="1"/>
      <c r="S3104" s="1"/>
      <c r="AD3104" s="1"/>
      <c r="AE3104" s="1"/>
    </row>
    <row r="3105" spans="18:31" ht="75" customHeight="1">
      <c r="R3105" s="1"/>
      <c r="S3105" s="1"/>
      <c r="AD3105" s="1"/>
      <c r="AE3105" s="1"/>
    </row>
    <row r="3106" spans="18:31" ht="75" customHeight="1">
      <c r="R3106" s="1"/>
      <c r="S3106" s="1"/>
      <c r="AD3106" s="1"/>
      <c r="AE3106" s="1"/>
    </row>
    <row r="3107" spans="18:31" ht="75" customHeight="1">
      <c r="R3107" s="1"/>
      <c r="S3107" s="1"/>
      <c r="AD3107" s="1"/>
      <c r="AE3107" s="1"/>
    </row>
    <row r="3108" spans="18:31" ht="75" customHeight="1">
      <c r="R3108" s="1"/>
      <c r="S3108" s="1"/>
      <c r="AD3108" s="1"/>
      <c r="AE3108" s="1"/>
    </row>
    <row r="3109" spans="18:31" ht="75" customHeight="1">
      <c r="R3109" s="1"/>
      <c r="S3109" s="1"/>
      <c r="AD3109" s="1"/>
      <c r="AE3109" s="1"/>
    </row>
    <row r="3110" spans="18:31" ht="75" customHeight="1">
      <c r="R3110" s="1"/>
      <c r="S3110" s="1"/>
      <c r="AD3110" s="1"/>
      <c r="AE3110" s="1"/>
    </row>
    <row r="3111" spans="18:31" ht="75" customHeight="1">
      <c r="R3111" s="1"/>
      <c r="S3111" s="1"/>
      <c r="AD3111" s="1"/>
      <c r="AE3111" s="1"/>
    </row>
    <row r="3112" spans="18:31" ht="75" customHeight="1">
      <c r="R3112" s="1"/>
      <c r="S3112" s="1"/>
      <c r="AD3112" s="1"/>
      <c r="AE3112" s="1"/>
    </row>
    <row r="3113" spans="18:31" ht="75" customHeight="1">
      <c r="R3113" s="1"/>
      <c r="S3113" s="1"/>
      <c r="AD3113" s="1"/>
      <c r="AE3113" s="1"/>
    </row>
    <row r="3114" spans="18:31" ht="75" customHeight="1">
      <c r="R3114" s="1"/>
      <c r="S3114" s="1"/>
      <c r="AD3114" s="1"/>
      <c r="AE3114" s="1"/>
    </row>
    <row r="3115" spans="18:31" ht="75" customHeight="1">
      <c r="R3115" s="1"/>
      <c r="S3115" s="1"/>
      <c r="AD3115" s="1"/>
      <c r="AE3115" s="1"/>
    </row>
    <row r="3116" spans="18:31" ht="75" customHeight="1">
      <c r="R3116" s="1"/>
      <c r="S3116" s="1"/>
      <c r="AD3116" s="1"/>
      <c r="AE3116" s="1"/>
    </row>
    <row r="3117" spans="18:31" ht="75" customHeight="1">
      <c r="R3117" s="1"/>
      <c r="S3117" s="1"/>
      <c r="AD3117" s="1"/>
      <c r="AE3117" s="1"/>
    </row>
    <row r="3118" spans="18:31" ht="75" customHeight="1">
      <c r="R3118" s="1"/>
      <c r="S3118" s="1"/>
      <c r="AD3118" s="1"/>
      <c r="AE3118" s="1"/>
    </row>
    <row r="3119" spans="18:31" ht="75" customHeight="1">
      <c r="R3119" s="1"/>
      <c r="S3119" s="1"/>
      <c r="AD3119" s="1"/>
      <c r="AE3119" s="1"/>
    </row>
    <row r="3120" spans="18:31" ht="75" customHeight="1">
      <c r="R3120" s="1"/>
      <c r="S3120" s="1"/>
      <c r="AD3120" s="1"/>
      <c r="AE3120" s="1"/>
    </row>
    <row r="3121" spans="18:31" ht="75" customHeight="1">
      <c r="R3121" s="1"/>
      <c r="S3121" s="1"/>
      <c r="AD3121" s="1"/>
      <c r="AE3121" s="1"/>
    </row>
    <row r="3122" spans="18:31" ht="75" customHeight="1">
      <c r="R3122" s="1"/>
      <c r="S3122" s="1"/>
      <c r="AD3122" s="1"/>
      <c r="AE3122" s="1"/>
    </row>
    <row r="3123" spans="18:31" ht="75" customHeight="1">
      <c r="R3123" s="1"/>
      <c r="S3123" s="1"/>
      <c r="AD3123" s="1"/>
      <c r="AE3123" s="1"/>
    </row>
    <row r="3124" spans="18:31" ht="75" customHeight="1">
      <c r="R3124" s="1"/>
      <c r="S3124" s="1"/>
      <c r="AD3124" s="1"/>
      <c r="AE3124" s="1"/>
    </row>
    <row r="3125" spans="18:31" ht="75" customHeight="1">
      <c r="R3125" s="1"/>
      <c r="S3125" s="1"/>
      <c r="AD3125" s="1"/>
      <c r="AE3125" s="1"/>
    </row>
    <row r="3126" spans="18:31" ht="75" customHeight="1">
      <c r="R3126" s="1"/>
      <c r="S3126" s="1"/>
      <c r="AD3126" s="1"/>
      <c r="AE3126" s="1"/>
    </row>
    <row r="3127" spans="18:31" ht="75" customHeight="1">
      <c r="R3127" s="1"/>
      <c r="S3127" s="1"/>
      <c r="AD3127" s="1"/>
      <c r="AE3127" s="1"/>
    </row>
    <row r="3128" spans="18:31" ht="75" customHeight="1">
      <c r="R3128" s="1"/>
      <c r="S3128" s="1"/>
      <c r="AD3128" s="1"/>
      <c r="AE3128" s="1"/>
    </row>
    <row r="3129" spans="18:31" ht="75" customHeight="1">
      <c r="R3129" s="1"/>
      <c r="S3129" s="1"/>
      <c r="AD3129" s="1"/>
      <c r="AE3129" s="1"/>
    </row>
    <row r="3130" spans="18:31" ht="75" customHeight="1">
      <c r="R3130" s="1"/>
      <c r="S3130" s="1"/>
      <c r="AD3130" s="1"/>
      <c r="AE3130" s="1"/>
    </row>
    <row r="3131" spans="18:31" ht="75" customHeight="1">
      <c r="R3131" s="1"/>
      <c r="S3131" s="1"/>
      <c r="AD3131" s="1"/>
      <c r="AE3131" s="1"/>
    </row>
    <row r="3132" spans="18:31" ht="75" customHeight="1">
      <c r="R3132" s="1"/>
      <c r="S3132" s="1"/>
      <c r="AD3132" s="1"/>
      <c r="AE3132" s="1"/>
    </row>
    <row r="3133" spans="18:31" ht="75" customHeight="1">
      <c r="R3133" s="1"/>
      <c r="S3133" s="1"/>
      <c r="AD3133" s="1"/>
      <c r="AE3133" s="1"/>
    </row>
    <row r="3134" spans="18:31" ht="75" customHeight="1">
      <c r="R3134" s="1"/>
      <c r="S3134" s="1"/>
      <c r="AD3134" s="1"/>
      <c r="AE3134" s="1"/>
    </row>
    <row r="3135" spans="18:31" ht="75" customHeight="1">
      <c r="R3135" s="1"/>
      <c r="S3135" s="1"/>
      <c r="AD3135" s="1"/>
      <c r="AE3135" s="1"/>
    </row>
    <row r="3136" spans="18:31" ht="75" customHeight="1">
      <c r="R3136" s="1"/>
      <c r="S3136" s="1"/>
      <c r="AD3136" s="1"/>
      <c r="AE3136" s="1"/>
    </row>
    <row r="3137" spans="18:31" ht="75" customHeight="1">
      <c r="R3137" s="1"/>
      <c r="S3137" s="1"/>
      <c r="AD3137" s="1"/>
      <c r="AE3137" s="1"/>
    </row>
    <row r="3138" spans="18:31" ht="75" customHeight="1">
      <c r="R3138" s="1"/>
      <c r="S3138" s="1"/>
      <c r="AD3138" s="1"/>
      <c r="AE3138" s="1"/>
    </row>
    <row r="3139" spans="18:31" ht="75" customHeight="1">
      <c r="R3139" s="1"/>
      <c r="S3139" s="1"/>
      <c r="AD3139" s="1"/>
      <c r="AE3139" s="1"/>
    </row>
    <row r="3140" spans="18:31" ht="75" customHeight="1">
      <c r="R3140" s="1"/>
      <c r="S3140" s="1"/>
      <c r="AD3140" s="1"/>
      <c r="AE3140" s="1"/>
    </row>
    <row r="3141" spans="18:31" ht="75" customHeight="1">
      <c r="R3141" s="1"/>
      <c r="S3141" s="1"/>
      <c r="AD3141" s="1"/>
      <c r="AE3141" s="1"/>
    </row>
    <row r="3142" spans="18:31" ht="75" customHeight="1">
      <c r="R3142" s="1"/>
      <c r="S3142" s="1"/>
      <c r="AD3142" s="1"/>
      <c r="AE3142" s="1"/>
    </row>
    <row r="3143" spans="18:31" ht="75" customHeight="1">
      <c r="R3143" s="1"/>
      <c r="S3143" s="1"/>
      <c r="AD3143" s="1"/>
      <c r="AE3143" s="1"/>
    </row>
    <row r="3144" spans="18:31" ht="75" customHeight="1">
      <c r="R3144" s="1"/>
      <c r="S3144" s="1"/>
      <c r="AD3144" s="1"/>
      <c r="AE3144" s="1"/>
    </row>
    <row r="3145" spans="18:31" ht="75" customHeight="1">
      <c r="R3145" s="1"/>
      <c r="S3145" s="1"/>
      <c r="AD3145" s="1"/>
      <c r="AE3145" s="1"/>
    </row>
    <row r="3146" spans="18:31" ht="75" customHeight="1">
      <c r="R3146" s="1"/>
      <c r="S3146" s="1"/>
      <c r="AD3146" s="1"/>
      <c r="AE3146" s="1"/>
    </row>
    <row r="3147" spans="18:31" ht="75" customHeight="1">
      <c r="R3147" s="1"/>
      <c r="S3147" s="1"/>
      <c r="AD3147" s="1"/>
      <c r="AE3147" s="1"/>
    </row>
    <row r="3148" spans="18:31" ht="75" customHeight="1">
      <c r="R3148" s="1"/>
      <c r="S3148" s="1"/>
      <c r="AD3148" s="1"/>
      <c r="AE3148" s="1"/>
    </row>
    <row r="3149" spans="18:31" ht="75" customHeight="1">
      <c r="R3149" s="1"/>
      <c r="S3149" s="1"/>
      <c r="AD3149" s="1"/>
      <c r="AE3149" s="1"/>
    </row>
    <row r="3150" spans="18:31" ht="75" customHeight="1">
      <c r="R3150" s="1"/>
      <c r="S3150" s="1"/>
      <c r="AD3150" s="1"/>
      <c r="AE3150" s="1"/>
    </row>
    <row r="3151" spans="18:31" ht="75" customHeight="1">
      <c r="R3151" s="1"/>
      <c r="S3151" s="1"/>
      <c r="AD3151" s="1"/>
      <c r="AE3151" s="1"/>
    </row>
    <row r="3152" spans="18:31" ht="75" customHeight="1">
      <c r="R3152" s="1"/>
      <c r="S3152" s="1"/>
      <c r="AD3152" s="1"/>
      <c r="AE3152" s="1"/>
    </row>
    <row r="3153" spans="18:31" ht="75" customHeight="1">
      <c r="R3153" s="1"/>
      <c r="S3153" s="1"/>
      <c r="AD3153" s="1"/>
      <c r="AE3153" s="1"/>
    </row>
    <row r="3154" spans="18:31" ht="75" customHeight="1">
      <c r="R3154" s="1"/>
      <c r="S3154" s="1"/>
      <c r="AD3154" s="1"/>
      <c r="AE3154" s="1"/>
    </row>
    <row r="3155" spans="18:31" ht="75" customHeight="1">
      <c r="R3155" s="1"/>
      <c r="S3155" s="1"/>
      <c r="AD3155" s="1"/>
      <c r="AE3155" s="1"/>
    </row>
    <row r="3156" spans="18:31" ht="75" customHeight="1">
      <c r="R3156" s="1"/>
      <c r="S3156" s="1"/>
      <c r="AD3156" s="1"/>
      <c r="AE3156" s="1"/>
    </row>
    <row r="3157" spans="18:31" ht="75" customHeight="1">
      <c r="R3157" s="1"/>
      <c r="S3157" s="1"/>
      <c r="AD3157" s="1"/>
      <c r="AE3157" s="1"/>
    </row>
    <row r="3158" spans="18:31" ht="75" customHeight="1">
      <c r="R3158" s="1"/>
      <c r="S3158" s="1"/>
      <c r="AD3158" s="1"/>
      <c r="AE3158" s="1"/>
    </row>
    <row r="3159" spans="18:31" ht="75" customHeight="1">
      <c r="R3159" s="1"/>
      <c r="S3159" s="1"/>
      <c r="AD3159" s="1"/>
      <c r="AE3159" s="1"/>
    </row>
    <row r="3160" spans="18:31" ht="75" customHeight="1">
      <c r="R3160" s="1"/>
      <c r="S3160" s="1"/>
      <c r="AD3160" s="1"/>
      <c r="AE3160" s="1"/>
    </row>
    <row r="3161" spans="18:31" ht="75" customHeight="1">
      <c r="R3161" s="1"/>
      <c r="S3161" s="1"/>
      <c r="AD3161" s="1"/>
      <c r="AE3161" s="1"/>
    </row>
    <row r="3162" spans="18:31" ht="75" customHeight="1">
      <c r="R3162" s="1"/>
      <c r="S3162" s="1"/>
      <c r="AD3162" s="1"/>
      <c r="AE3162" s="1"/>
    </row>
    <row r="3163" spans="18:31" ht="75" customHeight="1">
      <c r="R3163" s="1"/>
      <c r="S3163" s="1"/>
      <c r="AD3163" s="1"/>
      <c r="AE3163" s="1"/>
    </row>
    <row r="3164" spans="18:31" ht="75" customHeight="1">
      <c r="R3164" s="1"/>
      <c r="S3164" s="1"/>
      <c r="AD3164" s="1"/>
      <c r="AE3164" s="1"/>
    </row>
    <row r="3165" spans="18:31" ht="75" customHeight="1">
      <c r="R3165" s="1"/>
      <c r="S3165" s="1"/>
      <c r="AD3165" s="1"/>
      <c r="AE3165" s="1"/>
    </row>
    <row r="3166" spans="18:31" ht="75" customHeight="1">
      <c r="R3166" s="1"/>
      <c r="S3166" s="1"/>
      <c r="AD3166" s="1"/>
      <c r="AE3166" s="1"/>
    </row>
    <row r="3167" spans="18:31" ht="75" customHeight="1">
      <c r="R3167" s="1"/>
      <c r="S3167" s="1"/>
      <c r="AD3167" s="1"/>
      <c r="AE3167" s="1"/>
    </row>
    <row r="3168" spans="18:31" ht="75" customHeight="1">
      <c r="R3168" s="1"/>
      <c r="S3168" s="1"/>
      <c r="AD3168" s="1"/>
      <c r="AE3168" s="1"/>
    </row>
    <row r="3169" spans="18:31" ht="75" customHeight="1">
      <c r="R3169" s="1"/>
      <c r="S3169" s="1"/>
      <c r="AD3169" s="1"/>
      <c r="AE3169" s="1"/>
    </row>
    <row r="3170" spans="18:31" ht="75" customHeight="1">
      <c r="R3170" s="1"/>
      <c r="S3170" s="1"/>
      <c r="AD3170" s="1"/>
      <c r="AE3170" s="1"/>
    </row>
    <row r="3171" spans="18:31" ht="75" customHeight="1">
      <c r="R3171" s="1"/>
      <c r="S3171" s="1"/>
      <c r="AD3171" s="1"/>
      <c r="AE3171" s="1"/>
    </row>
    <row r="3172" spans="18:31" ht="75" customHeight="1">
      <c r="R3172" s="1"/>
      <c r="S3172" s="1"/>
      <c r="AD3172" s="1"/>
      <c r="AE3172" s="1"/>
    </row>
    <row r="3173" spans="18:31" ht="75" customHeight="1">
      <c r="R3173" s="1"/>
      <c r="S3173" s="1"/>
      <c r="AD3173" s="1"/>
      <c r="AE3173" s="1"/>
    </row>
    <row r="3174" spans="18:31" ht="75" customHeight="1">
      <c r="R3174" s="1"/>
      <c r="S3174" s="1"/>
      <c r="AD3174" s="1"/>
      <c r="AE3174" s="1"/>
    </row>
    <row r="3175" spans="18:31" ht="75" customHeight="1">
      <c r="R3175" s="1"/>
      <c r="S3175" s="1"/>
      <c r="AD3175" s="1"/>
      <c r="AE3175" s="1"/>
    </row>
    <row r="3176" spans="18:31" ht="75" customHeight="1">
      <c r="R3176" s="1"/>
      <c r="S3176" s="1"/>
      <c r="AD3176" s="1"/>
      <c r="AE3176" s="1"/>
    </row>
    <row r="3177" spans="18:31" ht="75" customHeight="1">
      <c r="R3177" s="1"/>
      <c r="S3177" s="1"/>
      <c r="AD3177" s="1"/>
      <c r="AE3177" s="1"/>
    </row>
    <row r="3178" spans="18:31" ht="75" customHeight="1">
      <c r="R3178" s="1"/>
      <c r="S3178" s="1"/>
      <c r="AD3178" s="1"/>
      <c r="AE3178" s="1"/>
    </row>
    <row r="3179" spans="18:31" ht="75" customHeight="1">
      <c r="R3179" s="1"/>
      <c r="S3179" s="1"/>
      <c r="AD3179" s="1"/>
      <c r="AE3179" s="1"/>
    </row>
    <row r="3180" spans="18:31" ht="75" customHeight="1">
      <c r="R3180" s="1"/>
      <c r="S3180" s="1"/>
      <c r="AD3180" s="1"/>
      <c r="AE3180" s="1"/>
    </row>
    <row r="3181" spans="18:31" ht="75" customHeight="1">
      <c r="R3181" s="1"/>
      <c r="S3181" s="1"/>
      <c r="AD3181" s="1"/>
      <c r="AE3181" s="1"/>
    </row>
    <row r="3182" spans="18:31" ht="75" customHeight="1">
      <c r="R3182" s="1"/>
      <c r="S3182" s="1"/>
      <c r="AD3182" s="1"/>
      <c r="AE3182" s="1"/>
    </row>
    <row r="3183" spans="18:31" ht="75" customHeight="1">
      <c r="R3183" s="1"/>
      <c r="S3183" s="1"/>
      <c r="AD3183" s="1"/>
      <c r="AE3183" s="1"/>
    </row>
    <row r="3184" spans="18:31" ht="75" customHeight="1">
      <c r="R3184" s="1"/>
      <c r="S3184" s="1"/>
      <c r="AD3184" s="1"/>
      <c r="AE3184" s="1"/>
    </row>
    <row r="3185" spans="18:31" ht="75" customHeight="1">
      <c r="R3185" s="1"/>
      <c r="S3185" s="1"/>
      <c r="AD3185" s="1"/>
      <c r="AE3185" s="1"/>
    </row>
    <row r="3186" spans="18:31" ht="75" customHeight="1">
      <c r="R3186" s="1"/>
      <c r="S3186" s="1"/>
      <c r="AD3186" s="1"/>
      <c r="AE3186" s="1"/>
    </row>
    <row r="3187" spans="18:31" ht="75" customHeight="1">
      <c r="R3187" s="1"/>
      <c r="S3187" s="1"/>
      <c r="AD3187" s="1"/>
      <c r="AE3187" s="1"/>
    </row>
    <row r="3188" spans="18:31" ht="75" customHeight="1">
      <c r="R3188" s="1"/>
      <c r="S3188" s="1"/>
      <c r="AD3188" s="1"/>
      <c r="AE3188" s="1"/>
    </row>
    <row r="3189" spans="18:31" ht="75" customHeight="1">
      <c r="R3189" s="1"/>
      <c r="S3189" s="1"/>
      <c r="AD3189" s="1"/>
      <c r="AE3189" s="1"/>
    </row>
    <row r="3190" spans="18:31" ht="75" customHeight="1">
      <c r="R3190" s="1"/>
      <c r="S3190" s="1"/>
      <c r="AD3190" s="1"/>
      <c r="AE3190" s="1"/>
    </row>
    <row r="3191" spans="18:31" ht="75" customHeight="1">
      <c r="R3191" s="1"/>
      <c r="S3191" s="1"/>
      <c r="AD3191" s="1"/>
      <c r="AE3191" s="1"/>
    </row>
    <row r="3192" spans="18:31" ht="75" customHeight="1">
      <c r="R3192" s="1"/>
      <c r="S3192" s="1"/>
      <c r="AD3192" s="1"/>
      <c r="AE3192" s="1"/>
    </row>
    <row r="3193" spans="18:31" ht="75" customHeight="1">
      <c r="R3193" s="1"/>
      <c r="S3193" s="1"/>
      <c r="AD3193" s="1"/>
      <c r="AE3193" s="1"/>
    </row>
    <row r="3194" spans="18:31" ht="75" customHeight="1">
      <c r="R3194" s="1"/>
      <c r="S3194" s="1"/>
      <c r="AD3194" s="1"/>
      <c r="AE3194" s="1"/>
    </row>
    <row r="3195" spans="18:31" ht="75" customHeight="1">
      <c r="R3195" s="1"/>
      <c r="S3195" s="1"/>
      <c r="AD3195" s="1"/>
      <c r="AE3195" s="1"/>
    </row>
    <row r="3196" spans="18:31" ht="75" customHeight="1">
      <c r="R3196" s="1"/>
      <c r="S3196" s="1"/>
      <c r="AD3196" s="1"/>
      <c r="AE3196" s="1"/>
    </row>
    <row r="3197" spans="18:31" ht="75" customHeight="1">
      <c r="R3197" s="1"/>
      <c r="S3197" s="1"/>
      <c r="AD3197" s="1"/>
      <c r="AE3197" s="1"/>
    </row>
    <row r="3198" spans="18:31" ht="75" customHeight="1">
      <c r="R3198" s="1"/>
      <c r="S3198" s="1"/>
      <c r="AD3198" s="1"/>
      <c r="AE3198" s="1"/>
    </row>
    <row r="3199" spans="18:31" ht="75" customHeight="1">
      <c r="R3199" s="1"/>
      <c r="S3199" s="1"/>
      <c r="AD3199" s="1"/>
      <c r="AE3199" s="1"/>
    </row>
    <row r="3200" spans="18:31" ht="75" customHeight="1">
      <c r="R3200" s="1"/>
      <c r="S3200" s="1"/>
      <c r="AD3200" s="1"/>
      <c r="AE3200" s="1"/>
    </row>
    <row r="3201" spans="18:31" ht="75" customHeight="1">
      <c r="R3201" s="1"/>
      <c r="S3201" s="1"/>
      <c r="AD3201" s="1"/>
      <c r="AE3201" s="1"/>
    </row>
    <row r="3202" spans="18:31" ht="75" customHeight="1">
      <c r="R3202" s="1"/>
      <c r="S3202" s="1"/>
      <c r="AD3202" s="1"/>
      <c r="AE3202" s="1"/>
    </row>
    <row r="3203" spans="18:31" ht="75" customHeight="1">
      <c r="R3203" s="1"/>
      <c r="S3203" s="1"/>
      <c r="AD3203" s="1"/>
      <c r="AE3203" s="1"/>
    </row>
    <row r="3204" spans="18:31" ht="75" customHeight="1">
      <c r="R3204" s="1"/>
      <c r="S3204" s="1"/>
      <c r="AD3204" s="1"/>
      <c r="AE3204" s="1"/>
    </row>
    <row r="3205" spans="18:31" ht="75" customHeight="1">
      <c r="R3205" s="1"/>
      <c r="S3205" s="1"/>
      <c r="AD3205" s="1"/>
      <c r="AE3205" s="1"/>
    </row>
    <row r="3206" spans="18:31" ht="75" customHeight="1">
      <c r="R3206" s="1"/>
      <c r="S3206" s="1"/>
      <c r="AD3206" s="1"/>
      <c r="AE3206" s="1"/>
    </row>
    <row r="3207" spans="18:31" ht="75" customHeight="1">
      <c r="R3207" s="1"/>
      <c r="S3207" s="1"/>
      <c r="AD3207" s="1"/>
      <c r="AE3207" s="1"/>
    </row>
    <row r="3208" spans="18:31" ht="75" customHeight="1">
      <c r="R3208" s="1"/>
      <c r="S3208" s="1"/>
      <c r="AD3208" s="1"/>
      <c r="AE3208" s="1"/>
    </row>
    <row r="3209" spans="18:31" ht="75" customHeight="1">
      <c r="R3209" s="1"/>
      <c r="S3209" s="1"/>
      <c r="AD3209" s="1"/>
      <c r="AE3209" s="1"/>
    </row>
    <row r="3210" spans="18:31" ht="75" customHeight="1">
      <c r="R3210" s="1"/>
      <c r="S3210" s="1"/>
      <c r="AD3210" s="1"/>
      <c r="AE3210" s="1"/>
    </row>
    <row r="3211" spans="18:31" ht="75" customHeight="1">
      <c r="R3211" s="1"/>
      <c r="S3211" s="1"/>
      <c r="AD3211" s="1"/>
      <c r="AE3211" s="1"/>
    </row>
    <row r="3212" spans="18:31" ht="75" customHeight="1">
      <c r="R3212" s="1"/>
      <c r="S3212" s="1"/>
      <c r="AD3212" s="1"/>
      <c r="AE3212" s="1"/>
    </row>
    <row r="3213" spans="18:31" ht="75" customHeight="1">
      <c r="R3213" s="1"/>
      <c r="S3213" s="1"/>
      <c r="AD3213" s="1"/>
      <c r="AE3213" s="1"/>
    </row>
    <row r="3214" spans="18:31" ht="75" customHeight="1">
      <c r="R3214" s="1"/>
      <c r="S3214" s="1"/>
      <c r="AD3214" s="1"/>
      <c r="AE3214" s="1"/>
    </row>
    <row r="3215" spans="18:31" ht="75" customHeight="1">
      <c r="R3215" s="1"/>
      <c r="S3215" s="1"/>
      <c r="AD3215" s="1"/>
      <c r="AE3215" s="1"/>
    </row>
    <row r="3216" spans="18:31" ht="75" customHeight="1">
      <c r="R3216" s="1"/>
      <c r="S3216" s="1"/>
      <c r="AD3216" s="1"/>
      <c r="AE3216" s="1"/>
    </row>
    <row r="3217" spans="18:31" ht="75" customHeight="1">
      <c r="R3217" s="1"/>
      <c r="S3217" s="1"/>
      <c r="AD3217" s="1"/>
      <c r="AE3217" s="1"/>
    </row>
    <row r="3218" spans="18:31" ht="75" customHeight="1">
      <c r="R3218" s="1"/>
      <c r="S3218" s="1"/>
      <c r="AD3218" s="1"/>
      <c r="AE3218" s="1"/>
    </row>
    <row r="3219" spans="18:31" ht="75" customHeight="1">
      <c r="R3219" s="1"/>
      <c r="S3219" s="1"/>
      <c r="AD3219" s="1"/>
      <c r="AE3219" s="1"/>
    </row>
    <row r="3220" spans="18:31" ht="75" customHeight="1">
      <c r="R3220" s="1"/>
      <c r="S3220" s="1"/>
      <c r="AD3220" s="1"/>
      <c r="AE3220" s="1"/>
    </row>
    <row r="3221" spans="18:31" ht="75" customHeight="1">
      <c r="R3221" s="1"/>
      <c r="S3221" s="1"/>
      <c r="AD3221" s="1"/>
      <c r="AE3221" s="1"/>
    </row>
    <row r="3222" spans="18:31" ht="75" customHeight="1">
      <c r="R3222" s="1"/>
      <c r="S3222" s="1"/>
      <c r="AD3222" s="1"/>
      <c r="AE3222" s="1"/>
    </row>
    <row r="3223" spans="18:31" ht="75" customHeight="1">
      <c r="R3223" s="1"/>
      <c r="S3223" s="1"/>
      <c r="AD3223" s="1"/>
      <c r="AE3223" s="1"/>
    </row>
    <row r="3224" spans="18:31" ht="75" customHeight="1">
      <c r="R3224" s="1"/>
      <c r="S3224" s="1"/>
      <c r="AD3224" s="1"/>
      <c r="AE3224" s="1"/>
    </row>
    <row r="3225" spans="18:31" ht="75" customHeight="1">
      <c r="R3225" s="1"/>
      <c r="S3225" s="1"/>
      <c r="AD3225" s="1"/>
      <c r="AE3225" s="1"/>
    </row>
    <row r="3226" spans="18:31" ht="75" customHeight="1">
      <c r="R3226" s="1"/>
      <c r="S3226" s="1"/>
      <c r="AD3226" s="1"/>
      <c r="AE3226" s="1"/>
    </row>
    <row r="3227" spans="18:31" ht="75" customHeight="1">
      <c r="R3227" s="1"/>
      <c r="S3227" s="1"/>
      <c r="AD3227" s="1"/>
      <c r="AE3227" s="1"/>
    </row>
    <row r="3228" spans="18:31" ht="75" customHeight="1">
      <c r="R3228" s="1"/>
      <c r="S3228" s="1"/>
      <c r="AD3228" s="1"/>
      <c r="AE3228" s="1"/>
    </row>
    <row r="3229" spans="18:31" ht="75" customHeight="1">
      <c r="R3229" s="1"/>
      <c r="S3229" s="1"/>
      <c r="AD3229" s="1"/>
      <c r="AE3229" s="1"/>
    </row>
    <row r="3230" spans="18:31" ht="75" customHeight="1">
      <c r="R3230" s="1"/>
      <c r="S3230" s="1"/>
      <c r="AD3230" s="1"/>
      <c r="AE3230" s="1"/>
    </row>
    <row r="3231" spans="18:31" ht="75" customHeight="1">
      <c r="R3231" s="1"/>
      <c r="S3231" s="1"/>
      <c r="AD3231" s="1"/>
      <c r="AE3231" s="1"/>
    </row>
    <row r="3232" spans="18:31" ht="75" customHeight="1">
      <c r="R3232" s="1"/>
      <c r="S3232" s="1"/>
      <c r="AD3232" s="1"/>
      <c r="AE3232" s="1"/>
    </row>
    <row r="3233" spans="18:31" ht="75" customHeight="1">
      <c r="R3233" s="1"/>
      <c r="S3233" s="1"/>
      <c r="AD3233" s="1"/>
      <c r="AE3233" s="1"/>
    </row>
    <row r="3234" spans="18:31" ht="75" customHeight="1">
      <c r="R3234" s="1"/>
      <c r="S3234" s="1"/>
      <c r="AD3234" s="1"/>
      <c r="AE3234" s="1"/>
    </row>
    <row r="3235" spans="18:31" ht="75" customHeight="1">
      <c r="R3235" s="1"/>
      <c r="S3235" s="1"/>
      <c r="AD3235" s="1"/>
      <c r="AE3235" s="1"/>
    </row>
    <row r="3236" spans="18:31" ht="75" customHeight="1">
      <c r="R3236" s="1"/>
      <c r="S3236" s="1"/>
      <c r="AD3236" s="1"/>
      <c r="AE3236" s="1"/>
    </row>
    <row r="3237" spans="18:31" ht="75" customHeight="1">
      <c r="R3237" s="1"/>
      <c r="S3237" s="1"/>
      <c r="AD3237" s="1"/>
      <c r="AE3237" s="1"/>
    </row>
    <row r="3238" spans="18:31" ht="75" customHeight="1">
      <c r="R3238" s="1"/>
      <c r="S3238" s="1"/>
      <c r="AD3238" s="1"/>
      <c r="AE3238" s="1"/>
    </row>
    <row r="3239" spans="18:31" ht="75" customHeight="1">
      <c r="R3239" s="1"/>
      <c r="S3239" s="1"/>
      <c r="AD3239" s="1"/>
      <c r="AE3239" s="1"/>
    </row>
    <row r="3240" spans="18:31" ht="75" customHeight="1">
      <c r="R3240" s="1"/>
      <c r="S3240" s="1"/>
      <c r="AD3240" s="1"/>
      <c r="AE3240" s="1"/>
    </row>
    <row r="3241" spans="18:31" ht="75" customHeight="1">
      <c r="R3241" s="1"/>
      <c r="S3241" s="1"/>
      <c r="AD3241" s="1"/>
      <c r="AE3241" s="1"/>
    </row>
    <row r="3242" spans="18:31" ht="75" customHeight="1">
      <c r="R3242" s="1"/>
      <c r="S3242" s="1"/>
      <c r="AD3242" s="1"/>
      <c r="AE3242" s="1"/>
    </row>
    <row r="3243" spans="18:31" ht="75" customHeight="1">
      <c r="R3243" s="1"/>
      <c r="S3243" s="1"/>
      <c r="AD3243" s="1"/>
      <c r="AE3243" s="1"/>
    </row>
    <row r="3244" spans="18:31" ht="75" customHeight="1">
      <c r="R3244" s="1"/>
      <c r="S3244" s="1"/>
      <c r="AD3244" s="1"/>
      <c r="AE3244" s="1"/>
    </row>
    <row r="3245" spans="18:31" ht="75" customHeight="1">
      <c r="R3245" s="1"/>
      <c r="S3245" s="1"/>
      <c r="AD3245" s="1"/>
      <c r="AE3245" s="1"/>
    </row>
    <row r="3246" spans="18:31" ht="75" customHeight="1">
      <c r="R3246" s="1"/>
      <c r="S3246" s="1"/>
      <c r="AD3246" s="1"/>
      <c r="AE3246" s="1"/>
    </row>
    <row r="3247" spans="18:31" ht="75" customHeight="1">
      <c r="R3247" s="1"/>
      <c r="S3247" s="1"/>
      <c r="AD3247" s="1"/>
      <c r="AE3247" s="1"/>
    </row>
    <row r="3248" spans="18:31" ht="75" customHeight="1">
      <c r="R3248" s="1"/>
      <c r="S3248" s="1"/>
      <c r="AD3248" s="1"/>
      <c r="AE3248" s="1"/>
    </row>
    <row r="3249" spans="18:31" ht="75" customHeight="1">
      <c r="R3249" s="1"/>
      <c r="S3249" s="1"/>
      <c r="AD3249" s="1"/>
      <c r="AE3249" s="1"/>
    </row>
    <row r="3250" spans="18:31" ht="75" customHeight="1">
      <c r="R3250" s="1"/>
      <c r="S3250" s="1"/>
      <c r="AD3250" s="1"/>
      <c r="AE3250" s="1"/>
    </row>
    <row r="3251" spans="18:31" ht="75" customHeight="1">
      <c r="R3251" s="1"/>
      <c r="S3251" s="1"/>
      <c r="AD3251" s="1"/>
      <c r="AE3251" s="1"/>
    </row>
    <row r="3252" spans="18:31" ht="75" customHeight="1">
      <c r="R3252" s="1"/>
      <c r="S3252" s="1"/>
      <c r="AD3252" s="1"/>
      <c r="AE3252" s="1"/>
    </row>
    <row r="3253" spans="18:31" ht="75" customHeight="1">
      <c r="R3253" s="1"/>
      <c r="S3253" s="1"/>
      <c r="AD3253" s="1"/>
      <c r="AE3253" s="1"/>
    </row>
    <row r="3254" spans="18:31" ht="75" customHeight="1">
      <c r="R3254" s="1"/>
      <c r="S3254" s="1"/>
      <c r="AD3254" s="1"/>
      <c r="AE3254" s="1"/>
    </row>
    <row r="3255" spans="18:31" ht="75" customHeight="1">
      <c r="R3255" s="1"/>
      <c r="S3255" s="1"/>
      <c r="AD3255" s="1"/>
      <c r="AE3255" s="1"/>
    </row>
    <row r="3256" spans="18:31" ht="75" customHeight="1">
      <c r="R3256" s="1"/>
      <c r="S3256" s="1"/>
      <c r="AD3256" s="1"/>
      <c r="AE3256" s="1"/>
    </row>
    <row r="3257" spans="18:31" ht="75" customHeight="1">
      <c r="R3257" s="1"/>
      <c r="S3257" s="1"/>
      <c r="AD3257" s="1"/>
      <c r="AE3257" s="1"/>
    </row>
    <row r="3258" spans="18:31" ht="75" customHeight="1">
      <c r="R3258" s="1"/>
      <c r="S3258" s="1"/>
      <c r="AD3258" s="1"/>
      <c r="AE3258" s="1"/>
    </row>
    <row r="3259" spans="18:31" ht="75" customHeight="1">
      <c r="R3259" s="1"/>
      <c r="S3259" s="1"/>
      <c r="AD3259" s="1"/>
      <c r="AE3259" s="1"/>
    </row>
    <row r="3260" spans="18:31" ht="75" customHeight="1">
      <c r="R3260" s="1"/>
      <c r="S3260" s="1"/>
      <c r="AD3260" s="1"/>
      <c r="AE3260" s="1"/>
    </row>
    <row r="3261" spans="18:31" ht="75" customHeight="1">
      <c r="R3261" s="1"/>
      <c r="S3261" s="1"/>
      <c r="AD3261" s="1"/>
      <c r="AE3261" s="1"/>
    </row>
    <row r="3262" spans="18:31" ht="75" customHeight="1">
      <c r="R3262" s="1"/>
      <c r="S3262" s="1"/>
      <c r="AD3262" s="1"/>
      <c r="AE3262" s="1"/>
    </row>
    <row r="3263" spans="18:31" ht="75" customHeight="1">
      <c r="R3263" s="1"/>
      <c r="S3263" s="1"/>
      <c r="AD3263" s="1"/>
      <c r="AE3263" s="1"/>
    </row>
    <row r="3264" spans="18:31" ht="75" customHeight="1">
      <c r="R3264" s="1"/>
      <c r="S3264" s="1"/>
      <c r="AD3264" s="1"/>
      <c r="AE3264" s="1"/>
    </row>
    <row r="3265" spans="18:31" ht="75" customHeight="1">
      <c r="R3265" s="1"/>
      <c r="S3265" s="1"/>
      <c r="AD3265" s="1"/>
      <c r="AE3265" s="1"/>
    </row>
    <row r="3266" spans="18:31" ht="75" customHeight="1">
      <c r="R3266" s="1"/>
      <c r="S3266" s="1"/>
      <c r="AD3266" s="1"/>
      <c r="AE3266" s="1"/>
    </row>
    <row r="3267" spans="18:31" ht="75" customHeight="1">
      <c r="R3267" s="1"/>
      <c r="S3267" s="1"/>
      <c r="AD3267" s="1"/>
      <c r="AE3267" s="1"/>
    </row>
    <row r="3268" spans="18:31" ht="75" customHeight="1">
      <c r="R3268" s="1"/>
      <c r="S3268" s="1"/>
      <c r="AD3268" s="1"/>
      <c r="AE3268" s="1"/>
    </row>
    <row r="3269" spans="18:31" ht="75" customHeight="1">
      <c r="R3269" s="1"/>
      <c r="S3269" s="1"/>
      <c r="AD3269" s="1"/>
      <c r="AE3269" s="1"/>
    </row>
    <row r="3270" spans="18:31" ht="75" customHeight="1">
      <c r="R3270" s="1"/>
      <c r="S3270" s="1"/>
      <c r="AD3270" s="1"/>
      <c r="AE3270" s="1"/>
    </row>
    <row r="3271" spans="18:31" ht="75" customHeight="1">
      <c r="R3271" s="1"/>
      <c r="S3271" s="1"/>
      <c r="AD3271" s="1"/>
      <c r="AE3271" s="1"/>
    </row>
    <row r="3272" spans="18:31" ht="75" customHeight="1">
      <c r="R3272" s="1"/>
      <c r="S3272" s="1"/>
      <c r="AD3272" s="1"/>
      <c r="AE3272" s="1"/>
    </row>
    <row r="3273" spans="18:31" ht="75" customHeight="1">
      <c r="R3273" s="1"/>
      <c r="S3273" s="1"/>
      <c r="AD3273" s="1"/>
      <c r="AE3273" s="1"/>
    </row>
    <row r="3274" spans="18:31" ht="75" customHeight="1">
      <c r="R3274" s="1"/>
      <c r="S3274" s="1"/>
      <c r="AD3274" s="1"/>
      <c r="AE3274" s="1"/>
    </row>
    <row r="3275" spans="18:31" ht="75" customHeight="1">
      <c r="R3275" s="1"/>
      <c r="S3275" s="1"/>
      <c r="AD3275" s="1"/>
      <c r="AE3275" s="1"/>
    </row>
    <row r="3276" spans="18:31" ht="75" customHeight="1">
      <c r="R3276" s="1"/>
      <c r="S3276" s="1"/>
      <c r="AD3276" s="1"/>
      <c r="AE3276" s="1"/>
    </row>
    <row r="3277" spans="18:31" ht="75" customHeight="1">
      <c r="R3277" s="1"/>
      <c r="S3277" s="1"/>
      <c r="AD3277" s="1"/>
      <c r="AE3277" s="1"/>
    </row>
    <row r="3278" spans="18:31" ht="75" customHeight="1">
      <c r="R3278" s="1"/>
      <c r="S3278" s="1"/>
      <c r="AD3278" s="1"/>
      <c r="AE3278" s="1"/>
    </row>
    <row r="3279" spans="18:31" ht="75" customHeight="1">
      <c r="R3279" s="1"/>
      <c r="S3279" s="1"/>
      <c r="AD3279" s="1"/>
      <c r="AE3279" s="1"/>
    </row>
    <row r="3280" spans="18:31" ht="75" customHeight="1">
      <c r="R3280" s="1"/>
      <c r="S3280" s="1"/>
      <c r="AD3280" s="1"/>
      <c r="AE3280" s="1"/>
    </row>
    <row r="3281" spans="18:31" ht="75" customHeight="1">
      <c r="R3281" s="1"/>
      <c r="S3281" s="1"/>
      <c r="AD3281" s="1"/>
      <c r="AE3281" s="1"/>
    </row>
    <row r="3282" spans="18:31" ht="75" customHeight="1">
      <c r="R3282" s="1"/>
      <c r="S3282" s="1"/>
      <c r="AD3282" s="1"/>
      <c r="AE3282" s="1"/>
    </row>
    <row r="3283" spans="18:31" ht="75" customHeight="1">
      <c r="R3283" s="1"/>
      <c r="S3283" s="1"/>
      <c r="AD3283" s="1"/>
      <c r="AE3283" s="1"/>
    </row>
    <row r="3284" spans="18:31" ht="75" customHeight="1">
      <c r="R3284" s="1"/>
      <c r="S3284" s="1"/>
      <c r="AD3284" s="1"/>
      <c r="AE3284" s="1"/>
    </row>
    <row r="3285" spans="18:31" ht="75" customHeight="1">
      <c r="R3285" s="1"/>
      <c r="S3285" s="1"/>
      <c r="AD3285" s="1"/>
      <c r="AE3285" s="1"/>
    </row>
    <row r="3286" spans="18:31" ht="75" customHeight="1">
      <c r="R3286" s="1"/>
      <c r="S3286" s="1"/>
      <c r="AD3286" s="1"/>
      <c r="AE3286" s="1"/>
    </row>
    <row r="3287" spans="18:31" ht="75" customHeight="1">
      <c r="R3287" s="1"/>
      <c r="S3287" s="1"/>
      <c r="AD3287" s="1"/>
      <c r="AE3287" s="1"/>
    </row>
    <row r="3288" spans="18:31" ht="75" customHeight="1">
      <c r="R3288" s="1"/>
      <c r="S3288" s="1"/>
      <c r="AD3288" s="1"/>
      <c r="AE3288" s="1"/>
    </row>
    <row r="3289" spans="18:31" ht="75" customHeight="1">
      <c r="R3289" s="1"/>
      <c r="S3289" s="1"/>
      <c r="AD3289" s="1"/>
      <c r="AE3289" s="1"/>
    </row>
    <row r="3290" spans="18:31" ht="75" customHeight="1">
      <c r="R3290" s="1"/>
      <c r="S3290" s="1"/>
      <c r="AD3290" s="1"/>
      <c r="AE3290" s="1"/>
    </row>
    <row r="3291" spans="18:31" ht="75" customHeight="1">
      <c r="R3291" s="1"/>
      <c r="S3291" s="1"/>
      <c r="AD3291" s="1"/>
      <c r="AE3291" s="1"/>
    </row>
    <row r="3292" spans="18:31" ht="75" customHeight="1">
      <c r="R3292" s="1"/>
      <c r="S3292" s="1"/>
      <c r="AD3292" s="1"/>
      <c r="AE3292" s="1"/>
    </row>
    <row r="3293" spans="18:31" ht="75" customHeight="1">
      <c r="R3293" s="1"/>
      <c r="S3293" s="1"/>
      <c r="AD3293" s="1"/>
      <c r="AE3293" s="1"/>
    </row>
    <row r="3294" spans="18:31" ht="75" customHeight="1">
      <c r="R3294" s="1"/>
      <c r="S3294" s="1"/>
      <c r="AD3294" s="1"/>
      <c r="AE3294" s="1"/>
    </row>
    <row r="3295" spans="18:31" ht="75" customHeight="1">
      <c r="R3295" s="1"/>
      <c r="S3295" s="1"/>
      <c r="AD3295" s="1"/>
      <c r="AE3295" s="1"/>
    </row>
    <row r="3296" spans="18:31" ht="75" customHeight="1">
      <c r="R3296" s="1"/>
      <c r="S3296" s="1"/>
      <c r="AD3296" s="1"/>
      <c r="AE3296" s="1"/>
    </row>
    <row r="3297" spans="18:31" ht="75" customHeight="1">
      <c r="R3297" s="1"/>
      <c r="S3297" s="1"/>
      <c r="AD3297" s="1"/>
      <c r="AE3297" s="1"/>
    </row>
    <row r="3298" spans="18:31" ht="75" customHeight="1">
      <c r="R3298" s="1"/>
      <c r="S3298" s="1"/>
      <c r="AD3298" s="1"/>
      <c r="AE3298" s="1"/>
    </row>
    <row r="3299" spans="18:31" ht="75" customHeight="1">
      <c r="R3299" s="1"/>
      <c r="S3299" s="1"/>
      <c r="AD3299" s="1"/>
      <c r="AE3299" s="1"/>
    </row>
    <row r="3300" spans="18:31" ht="75" customHeight="1">
      <c r="R3300" s="1"/>
      <c r="S3300" s="1"/>
      <c r="AD3300" s="1"/>
      <c r="AE3300" s="1"/>
    </row>
    <row r="3301" spans="18:31" ht="75" customHeight="1">
      <c r="R3301" s="1"/>
      <c r="S3301" s="1"/>
      <c r="AD3301" s="1"/>
      <c r="AE3301" s="1"/>
    </row>
    <row r="3302" spans="18:31" ht="75" customHeight="1">
      <c r="R3302" s="1"/>
      <c r="S3302" s="1"/>
      <c r="AD3302" s="1"/>
      <c r="AE3302" s="1"/>
    </row>
    <row r="3303" spans="18:31" ht="75" customHeight="1">
      <c r="R3303" s="1"/>
      <c r="S3303" s="1"/>
      <c r="AD3303" s="1"/>
      <c r="AE3303" s="1"/>
    </row>
    <row r="3304" spans="18:31" ht="75" customHeight="1">
      <c r="R3304" s="1"/>
      <c r="S3304" s="1"/>
      <c r="AD3304" s="1"/>
      <c r="AE3304" s="1"/>
    </row>
    <row r="3305" spans="18:31" ht="75" customHeight="1">
      <c r="R3305" s="1"/>
      <c r="S3305" s="1"/>
      <c r="AD3305" s="1"/>
      <c r="AE3305" s="1"/>
    </row>
    <row r="3306" spans="18:31" ht="75" customHeight="1">
      <c r="R3306" s="1"/>
      <c r="S3306" s="1"/>
      <c r="AD3306" s="1"/>
      <c r="AE3306" s="1"/>
    </row>
    <row r="3307" spans="18:31" ht="75" customHeight="1">
      <c r="R3307" s="1"/>
      <c r="S3307" s="1"/>
      <c r="AD3307" s="1"/>
      <c r="AE3307" s="1"/>
    </row>
    <row r="3308" spans="18:31" ht="75" customHeight="1">
      <c r="R3308" s="1"/>
      <c r="S3308" s="1"/>
      <c r="AD3308" s="1"/>
      <c r="AE3308" s="1"/>
    </row>
    <row r="3309" spans="18:31" ht="75" customHeight="1">
      <c r="R3309" s="1"/>
      <c r="S3309" s="1"/>
      <c r="AD3309" s="1"/>
      <c r="AE3309" s="1"/>
    </row>
    <row r="3310" spans="18:31" ht="75" customHeight="1">
      <c r="R3310" s="1"/>
      <c r="S3310" s="1"/>
      <c r="AD3310" s="1"/>
      <c r="AE3310" s="1"/>
    </row>
    <row r="3311" spans="18:31" ht="75" customHeight="1">
      <c r="R3311" s="1"/>
      <c r="S3311" s="1"/>
      <c r="AD3311" s="1"/>
      <c r="AE3311" s="1"/>
    </row>
    <row r="3312" spans="18:31" ht="75" customHeight="1">
      <c r="R3312" s="1"/>
      <c r="S3312" s="1"/>
      <c r="AD3312" s="1"/>
      <c r="AE3312" s="1"/>
    </row>
    <row r="3313" spans="18:31" ht="75" customHeight="1">
      <c r="R3313" s="1"/>
      <c r="S3313" s="1"/>
      <c r="AD3313" s="1"/>
      <c r="AE3313" s="1"/>
    </row>
    <row r="3314" spans="18:31" ht="75" customHeight="1">
      <c r="R3314" s="1"/>
      <c r="S3314" s="1"/>
      <c r="AD3314" s="1"/>
      <c r="AE3314" s="1"/>
    </row>
    <row r="3315" spans="18:31" ht="75" customHeight="1">
      <c r="R3315" s="1"/>
      <c r="S3315" s="1"/>
      <c r="AD3315" s="1"/>
      <c r="AE3315" s="1"/>
    </row>
    <row r="3316" spans="18:31" ht="75" customHeight="1">
      <c r="R3316" s="1"/>
      <c r="S3316" s="1"/>
      <c r="AD3316" s="1"/>
      <c r="AE3316" s="1"/>
    </row>
    <row r="3317" spans="18:31" ht="75" customHeight="1">
      <c r="R3317" s="1"/>
      <c r="S3317" s="1"/>
      <c r="AD3317" s="1"/>
      <c r="AE3317" s="1"/>
    </row>
    <row r="3318" spans="18:31" ht="75" customHeight="1">
      <c r="R3318" s="1"/>
      <c r="S3318" s="1"/>
      <c r="AD3318" s="1"/>
      <c r="AE3318" s="1"/>
    </row>
    <row r="3319" spans="18:31" ht="75" customHeight="1">
      <c r="R3319" s="1"/>
      <c r="S3319" s="1"/>
      <c r="AD3319" s="1"/>
      <c r="AE3319" s="1"/>
    </row>
    <row r="3320" spans="18:31" ht="75" customHeight="1">
      <c r="R3320" s="1"/>
      <c r="S3320" s="1"/>
      <c r="AD3320" s="1"/>
      <c r="AE3320" s="1"/>
    </row>
    <row r="3321" spans="18:31" ht="75" customHeight="1">
      <c r="R3321" s="1"/>
      <c r="S3321" s="1"/>
      <c r="AD3321" s="1"/>
      <c r="AE3321" s="1"/>
    </row>
    <row r="3322" spans="18:31" ht="75" customHeight="1">
      <c r="R3322" s="1"/>
      <c r="S3322" s="1"/>
      <c r="AD3322" s="1"/>
      <c r="AE3322" s="1"/>
    </row>
    <row r="3323" spans="18:31" ht="75" customHeight="1">
      <c r="R3323" s="1"/>
      <c r="S3323" s="1"/>
      <c r="AD3323" s="1"/>
      <c r="AE3323" s="1"/>
    </row>
    <row r="3324" spans="18:31" ht="75" customHeight="1">
      <c r="R3324" s="1"/>
      <c r="S3324" s="1"/>
      <c r="AD3324" s="1"/>
      <c r="AE3324" s="1"/>
    </row>
    <row r="3325" spans="18:31" ht="75" customHeight="1">
      <c r="R3325" s="1"/>
      <c r="S3325" s="1"/>
      <c r="AD3325" s="1"/>
      <c r="AE3325" s="1"/>
    </row>
    <row r="3326" spans="18:31" ht="75" customHeight="1">
      <c r="R3326" s="1"/>
      <c r="S3326" s="1"/>
      <c r="AD3326" s="1"/>
      <c r="AE3326" s="1"/>
    </row>
    <row r="3327" spans="18:31" ht="75" customHeight="1">
      <c r="R3327" s="1"/>
      <c r="S3327" s="1"/>
      <c r="AD3327" s="1"/>
      <c r="AE3327" s="1"/>
    </row>
    <row r="3328" spans="18:31" ht="75" customHeight="1">
      <c r="R3328" s="1"/>
      <c r="S3328" s="1"/>
      <c r="AD3328" s="1"/>
      <c r="AE3328" s="1"/>
    </row>
    <row r="3329" spans="18:31" ht="75" customHeight="1">
      <c r="R3329" s="1"/>
      <c r="S3329" s="1"/>
      <c r="AD3329" s="1"/>
      <c r="AE3329" s="1"/>
    </row>
    <row r="3330" spans="18:31" ht="75" customHeight="1">
      <c r="R3330" s="1"/>
      <c r="S3330" s="1"/>
      <c r="AD3330" s="1"/>
      <c r="AE3330" s="1"/>
    </row>
    <row r="3331" spans="18:31" ht="75" customHeight="1">
      <c r="R3331" s="1"/>
      <c r="S3331" s="1"/>
      <c r="AD3331" s="1"/>
      <c r="AE3331" s="1"/>
    </row>
    <row r="3332" spans="18:31" ht="75" customHeight="1">
      <c r="R3332" s="1"/>
      <c r="S3332" s="1"/>
      <c r="AD3332" s="1"/>
      <c r="AE3332" s="1"/>
    </row>
    <row r="3333" spans="18:31" ht="75" customHeight="1">
      <c r="R3333" s="1"/>
      <c r="S3333" s="1"/>
      <c r="AD3333" s="1"/>
      <c r="AE3333" s="1"/>
    </row>
    <row r="3334" spans="18:31" ht="75" customHeight="1">
      <c r="R3334" s="1"/>
      <c r="S3334" s="1"/>
      <c r="AD3334" s="1"/>
      <c r="AE3334" s="1"/>
    </row>
    <row r="3335" spans="18:31" ht="75" customHeight="1">
      <c r="R3335" s="1"/>
      <c r="S3335" s="1"/>
      <c r="AD3335" s="1"/>
      <c r="AE3335" s="1"/>
    </row>
    <row r="3336" spans="18:31" ht="75" customHeight="1">
      <c r="R3336" s="1"/>
      <c r="S3336" s="1"/>
      <c r="AD3336" s="1"/>
      <c r="AE3336" s="1"/>
    </row>
    <row r="3337" spans="18:31" ht="75" customHeight="1">
      <c r="R3337" s="1"/>
      <c r="S3337" s="1"/>
      <c r="AD3337" s="1"/>
      <c r="AE3337" s="1"/>
    </row>
    <row r="3338" spans="18:31" ht="75" customHeight="1">
      <c r="R3338" s="1"/>
      <c r="S3338" s="1"/>
      <c r="AD3338" s="1"/>
      <c r="AE3338" s="1"/>
    </row>
    <row r="3339" spans="18:31" ht="75" customHeight="1">
      <c r="R3339" s="1"/>
      <c r="S3339" s="1"/>
      <c r="AD3339" s="1"/>
      <c r="AE3339" s="1"/>
    </row>
    <row r="3340" spans="18:31" ht="75" customHeight="1">
      <c r="R3340" s="1"/>
      <c r="S3340" s="1"/>
      <c r="AD3340" s="1"/>
      <c r="AE3340" s="1"/>
    </row>
    <row r="3341" spans="18:31" ht="75" customHeight="1">
      <c r="R3341" s="1"/>
      <c r="S3341" s="1"/>
      <c r="AD3341" s="1"/>
      <c r="AE3341" s="1"/>
    </row>
    <row r="3342" spans="18:31" ht="75" customHeight="1">
      <c r="R3342" s="1"/>
      <c r="S3342" s="1"/>
      <c r="AD3342" s="1"/>
      <c r="AE3342" s="1"/>
    </row>
    <row r="3343" spans="18:31" ht="75" customHeight="1">
      <c r="R3343" s="1"/>
      <c r="S3343" s="1"/>
      <c r="AD3343" s="1"/>
      <c r="AE3343" s="1"/>
    </row>
    <row r="3344" spans="18:31" ht="75" customHeight="1">
      <c r="R3344" s="1"/>
      <c r="S3344" s="1"/>
      <c r="AD3344" s="1"/>
      <c r="AE3344" s="1"/>
    </row>
    <row r="3345" spans="18:31" ht="75" customHeight="1">
      <c r="R3345" s="1"/>
      <c r="S3345" s="1"/>
      <c r="AD3345" s="1"/>
      <c r="AE3345" s="1"/>
    </row>
    <row r="3346" spans="18:31" ht="75" customHeight="1">
      <c r="R3346" s="1"/>
      <c r="S3346" s="1"/>
      <c r="AD3346" s="1"/>
      <c r="AE3346" s="1"/>
    </row>
    <row r="3347" spans="18:31" ht="75" customHeight="1">
      <c r="R3347" s="1"/>
      <c r="S3347" s="1"/>
      <c r="AD3347" s="1"/>
      <c r="AE3347" s="1"/>
    </row>
    <row r="3348" spans="18:31" ht="75" customHeight="1">
      <c r="R3348" s="1"/>
      <c r="S3348" s="1"/>
      <c r="AD3348" s="1"/>
      <c r="AE3348" s="1"/>
    </row>
    <row r="3349" spans="18:31" ht="75" customHeight="1">
      <c r="R3349" s="1"/>
      <c r="S3349" s="1"/>
      <c r="AD3349" s="1"/>
      <c r="AE3349" s="1"/>
    </row>
    <row r="3350" spans="18:31" ht="75" customHeight="1">
      <c r="R3350" s="1"/>
      <c r="S3350" s="1"/>
      <c r="AD3350" s="1"/>
      <c r="AE3350" s="1"/>
    </row>
    <row r="3351" spans="18:31" ht="75" customHeight="1">
      <c r="R3351" s="1"/>
      <c r="S3351" s="1"/>
      <c r="AD3351" s="1"/>
      <c r="AE3351" s="1"/>
    </row>
    <row r="3352" spans="18:31" ht="75" customHeight="1">
      <c r="R3352" s="1"/>
      <c r="S3352" s="1"/>
      <c r="AD3352" s="1"/>
      <c r="AE3352" s="1"/>
    </row>
    <row r="3353" spans="18:31" ht="75" customHeight="1">
      <c r="R3353" s="1"/>
      <c r="S3353" s="1"/>
      <c r="AD3353" s="1"/>
      <c r="AE3353" s="1"/>
    </row>
    <row r="3354" spans="18:31" ht="75" customHeight="1">
      <c r="R3354" s="1"/>
      <c r="S3354" s="1"/>
      <c r="AD3354" s="1"/>
      <c r="AE3354" s="1"/>
    </row>
    <row r="3355" spans="18:31" ht="75" customHeight="1">
      <c r="R3355" s="1"/>
      <c r="S3355" s="1"/>
      <c r="AD3355" s="1"/>
      <c r="AE3355" s="1"/>
    </row>
    <row r="3356" spans="18:31" ht="75" customHeight="1">
      <c r="R3356" s="1"/>
      <c r="S3356" s="1"/>
      <c r="AD3356" s="1"/>
      <c r="AE3356" s="1"/>
    </row>
    <row r="3357" spans="18:31" ht="75" customHeight="1">
      <c r="R3357" s="1"/>
      <c r="S3357" s="1"/>
      <c r="AD3357" s="1"/>
      <c r="AE3357" s="1"/>
    </row>
    <row r="3358" spans="18:31" ht="75" customHeight="1">
      <c r="R3358" s="1"/>
      <c r="S3358" s="1"/>
      <c r="AD3358" s="1"/>
      <c r="AE3358" s="1"/>
    </row>
    <row r="3359" spans="18:31" ht="75" customHeight="1">
      <c r="R3359" s="1"/>
      <c r="S3359" s="1"/>
      <c r="AD3359" s="1"/>
      <c r="AE3359" s="1"/>
    </row>
    <row r="3360" spans="18:31" ht="75" customHeight="1">
      <c r="R3360" s="1"/>
      <c r="S3360" s="1"/>
      <c r="AD3360" s="1"/>
      <c r="AE3360" s="1"/>
    </row>
    <row r="3361" spans="18:31" ht="75" customHeight="1">
      <c r="R3361" s="1"/>
      <c r="S3361" s="1"/>
      <c r="AD3361" s="1"/>
      <c r="AE3361" s="1"/>
    </row>
    <row r="3362" spans="18:31" ht="75" customHeight="1">
      <c r="R3362" s="1"/>
      <c r="S3362" s="1"/>
      <c r="AD3362" s="1"/>
      <c r="AE3362" s="1"/>
    </row>
    <row r="3363" spans="18:31" ht="75" customHeight="1">
      <c r="R3363" s="1"/>
      <c r="S3363" s="1"/>
      <c r="AD3363" s="1"/>
      <c r="AE3363" s="1"/>
    </row>
    <row r="3364" spans="18:31" ht="75" customHeight="1">
      <c r="R3364" s="1"/>
      <c r="S3364" s="1"/>
      <c r="AD3364" s="1"/>
      <c r="AE3364" s="1"/>
    </row>
    <row r="3365" spans="18:31" ht="75" customHeight="1">
      <c r="R3365" s="1"/>
      <c r="S3365" s="1"/>
      <c r="AD3365" s="1"/>
      <c r="AE3365" s="1"/>
    </row>
    <row r="3366" spans="18:31" ht="75" customHeight="1">
      <c r="R3366" s="1"/>
      <c r="S3366" s="1"/>
      <c r="AD3366" s="1"/>
      <c r="AE3366" s="1"/>
    </row>
    <row r="3367" spans="18:31" ht="75" customHeight="1">
      <c r="R3367" s="1"/>
      <c r="S3367" s="1"/>
      <c r="AD3367" s="1"/>
      <c r="AE3367" s="1"/>
    </row>
    <row r="3368" spans="18:31" ht="75" customHeight="1">
      <c r="R3368" s="1"/>
      <c r="S3368" s="1"/>
      <c r="AD3368" s="1"/>
      <c r="AE3368" s="1"/>
    </row>
    <row r="3369" spans="18:31" ht="75" customHeight="1">
      <c r="R3369" s="1"/>
      <c r="S3369" s="1"/>
      <c r="AD3369" s="1"/>
      <c r="AE3369" s="1"/>
    </row>
    <row r="3370" spans="18:31" ht="75" customHeight="1">
      <c r="R3370" s="1"/>
      <c r="S3370" s="1"/>
      <c r="AD3370" s="1"/>
      <c r="AE3370" s="1"/>
    </row>
    <row r="3371" spans="18:31" ht="75" customHeight="1">
      <c r="R3371" s="1"/>
      <c r="S3371" s="1"/>
      <c r="AD3371" s="1"/>
      <c r="AE3371" s="1"/>
    </row>
    <row r="3372" spans="18:31" ht="75" customHeight="1">
      <c r="R3372" s="1"/>
      <c r="S3372" s="1"/>
      <c r="AD3372" s="1"/>
      <c r="AE3372" s="1"/>
    </row>
    <row r="3373" spans="18:31" ht="75" customHeight="1">
      <c r="R3373" s="1"/>
      <c r="S3373" s="1"/>
      <c r="AD3373" s="1"/>
      <c r="AE3373" s="1"/>
    </row>
    <row r="3374" spans="18:31" ht="75" customHeight="1">
      <c r="R3374" s="1"/>
      <c r="S3374" s="1"/>
      <c r="AD3374" s="1"/>
      <c r="AE3374" s="1"/>
    </row>
    <row r="3375" spans="18:31" ht="75" customHeight="1">
      <c r="R3375" s="1"/>
      <c r="S3375" s="1"/>
      <c r="AD3375" s="1"/>
      <c r="AE3375" s="1"/>
    </row>
    <row r="3376" spans="18:31" ht="75" customHeight="1">
      <c r="R3376" s="1"/>
      <c r="S3376" s="1"/>
      <c r="AD3376" s="1"/>
      <c r="AE3376" s="1"/>
    </row>
    <row r="3377" spans="18:31" ht="75" customHeight="1">
      <c r="R3377" s="1"/>
      <c r="S3377" s="1"/>
      <c r="AD3377" s="1"/>
      <c r="AE3377" s="1"/>
    </row>
    <row r="3378" spans="18:31" ht="75" customHeight="1">
      <c r="R3378" s="1"/>
      <c r="S3378" s="1"/>
      <c r="AD3378" s="1"/>
      <c r="AE3378" s="1"/>
    </row>
    <row r="3379" spans="18:31" ht="75" customHeight="1">
      <c r="R3379" s="1"/>
      <c r="S3379" s="1"/>
      <c r="AD3379" s="1"/>
      <c r="AE3379" s="1"/>
    </row>
    <row r="3380" spans="18:31" ht="75" customHeight="1">
      <c r="R3380" s="1"/>
      <c r="S3380" s="1"/>
      <c r="AD3380" s="1"/>
      <c r="AE3380" s="1"/>
    </row>
    <row r="3381" spans="18:31" ht="75" customHeight="1">
      <c r="R3381" s="1"/>
      <c r="S3381" s="1"/>
      <c r="AD3381" s="1"/>
      <c r="AE3381" s="1"/>
    </row>
    <row r="3382" spans="18:31" ht="75" customHeight="1">
      <c r="R3382" s="1"/>
      <c r="S3382" s="1"/>
      <c r="AD3382" s="1"/>
      <c r="AE3382" s="1"/>
    </row>
    <row r="3383" spans="18:31" ht="75" customHeight="1">
      <c r="R3383" s="1"/>
      <c r="S3383" s="1"/>
      <c r="AD3383" s="1"/>
      <c r="AE3383" s="1"/>
    </row>
    <row r="3384" spans="18:31" ht="75" customHeight="1">
      <c r="R3384" s="1"/>
      <c r="S3384" s="1"/>
      <c r="AD3384" s="1"/>
      <c r="AE3384" s="1"/>
    </row>
    <row r="3385" spans="18:31" ht="75" customHeight="1">
      <c r="R3385" s="1"/>
      <c r="S3385" s="1"/>
      <c r="AD3385" s="1"/>
      <c r="AE3385" s="1"/>
    </row>
    <row r="3386" spans="18:31" ht="75" customHeight="1">
      <c r="R3386" s="1"/>
      <c r="S3386" s="1"/>
      <c r="AD3386" s="1"/>
      <c r="AE3386" s="1"/>
    </row>
    <row r="3387" spans="18:31" ht="75" customHeight="1">
      <c r="R3387" s="1"/>
      <c r="S3387" s="1"/>
      <c r="AD3387" s="1"/>
      <c r="AE3387" s="1"/>
    </row>
    <row r="3388" spans="18:31" ht="75" customHeight="1">
      <c r="R3388" s="1"/>
      <c r="S3388" s="1"/>
      <c r="AD3388" s="1"/>
      <c r="AE3388" s="1"/>
    </row>
    <row r="3389" spans="18:31" ht="75" customHeight="1">
      <c r="R3389" s="1"/>
      <c r="S3389" s="1"/>
      <c r="AD3389" s="1"/>
      <c r="AE3389" s="1"/>
    </row>
    <row r="3390" spans="18:31" ht="75" customHeight="1">
      <c r="R3390" s="1"/>
      <c r="S3390" s="1"/>
      <c r="AD3390" s="1"/>
      <c r="AE3390" s="1"/>
    </row>
    <row r="3391" spans="18:31" ht="75" customHeight="1">
      <c r="R3391" s="1"/>
      <c r="S3391" s="1"/>
      <c r="AD3391" s="1"/>
      <c r="AE3391" s="1"/>
    </row>
    <row r="3392" spans="18:31" ht="75" customHeight="1">
      <c r="R3392" s="1"/>
      <c r="S3392" s="1"/>
      <c r="AD3392" s="1"/>
      <c r="AE3392" s="1"/>
    </row>
    <row r="3393" spans="18:31" ht="75" customHeight="1">
      <c r="R3393" s="1"/>
      <c r="S3393" s="1"/>
      <c r="AD3393" s="1"/>
      <c r="AE3393" s="1"/>
    </row>
    <row r="3394" spans="18:31" ht="75" customHeight="1">
      <c r="R3394" s="1"/>
      <c r="S3394" s="1"/>
      <c r="AD3394" s="1"/>
      <c r="AE3394" s="1"/>
    </row>
    <row r="3395" spans="18:31" ht="75" customHeight="1">
      <c r="R3395" s="1"/>
      <c r="S3395" s="1"/>
      <c r="AD3395" s="1"/>
      <c r="AE3395" s="1"/>
    </row>
    <row r="3396" spans="18:31" ht="75" customHeight="1">
      <c r="R3396" s="1"/>
      <c r="S3396" s="1"/>
      <c r="AD3396" s="1"/>
      <c r="AE3396" s="1"/>
    </row>
    <row r="3397" spans="18:31" ht="75" customHeight="1">
      <c r="R3397" s="1"/>
      <c r="S3397" s="1"/>
      <c r="AD3397" s="1"/>
      <c r="AE3397" s="1"/>
    </row>
    <row r="3398" spans="18:31" ht="75" customHeight="1">
      <c r="R3398" s="1"/>
      <c r="S3398" s="1"/>
      <c r="AD3398" s="1"/>
      <c r="AE3398" s="1"/>
    </row>
    <row r="3399" spans="18:31" ht="75" customHeight="1">
      <c r="R3399" s="1"/>
      <c r="S3399" s="1"/>
      <c r="AD3399" s="1"/>
      <c r="AE3399" s="1"/>
    </row>
    <row r="3400" spans="18:31" ht="75" customHeight="1">
      <c r="R3400" s="1"/>
      <c r="S3400" s="1"/>
      <c r="AD3400" s="1"/>
      <c r="AE3400" s="1"/>
    </row>
    <row r="3401" spans="18:31" ht="75" customHeight="1">
      <c r="R3401" s="1"/>
      <c r="S3401" s="1"/>
      <c r="AD3401" s="1"/>
      <c r="AE3401" s="1"/>
    </row>
    <row r="3402" spans="18:31" ht="75" customHeight="1">
      <c r="R3402" s="1"/>
      <c r="S3402" s="1"/>
      <c r="AD3402" s="1"/>
      <c r="AE3402" s="1"/>
    </row>
    <row r="3403" spans="18:31" ht="75" customHeight="1">
      <c r="R3403" s="1"/>
      <c r="S3403" s="1"/>
      <c r="AD3403" s="1"/>
      <c r="AE3403" s="1"/>
    </row>
    <row r="3404" spans="18:31" ht="75" customHeight="1">
      <c r="R3404" s="1"/>
      <c r="S3404" s="1"/>
      <c r="AD3404" s="1"/>
      <c r="AE3404" s="1"/>
    </row>
    <row r="3405" spans="18:31" ht="75" customHeight="1">
      <c r="R3405" s="1"/>
      <c r="S3405" s="1"/>
      <c r="AD3405" s="1"/>
      <c r="AE3405" s="1"/>
    </row>
    <row r="3406" spans="18:31" ht="75" customHeight="1">
      <c r="R3406" s="1"/>
      <c r="S3406" s="1"/>
      <c r="AD3406" s="1"/>
      <c r="AE3406" s="1"/>
    </row>
    <row r="3407" spans="18:31" ht="75" customHeight="1">
      <c r="R3407" s="1"/>
      <c r="S3407" s="1"/>
      <c r="AD3407" s="1"/>
      <c r="AE3407" s="1"/>
    </row>
    <row r="3408" spans="18:31" ht="75" customHeight="1">
      <c r="R3408" s="1"/>
      <c r="S3408" s="1"/>
      <c r="AD3408" s="1"/>
      <c r="AE3408" s="1"/>
    </row>
    <row r="3409" spans="18:31" ht="75" customHeight="1">
      <c r="R3409" s="1"/>
      <c r="S3409" s="1"/>
      <c r="AD3409" s="1"/>
      <c r="AE3409" s="1"/>
    </row>
    <row r="3410" spans="18:31" ht="75" customHeight="1">
      <c r="R3410" s="1"/>
      <c r="S3410" s="1"/>
      <c r="AD3410" s="1"/>
      <c r="AE3410" s="1"/>
    </row>
    <row r="3411" spans="18:31" ht="75" customHeight="1">
      <c r="R3411" s="1"/>
      <c r="S3411" s="1"/>
      <c r="AD3411" s="1"/>
      <c r="AE3411" s="1"/>
    </row>
    <row r="3412" spans="18:31" ht="75" customHeight="1">
      <c r="R3412" s="1"/>
      <c r="S3412" s="1"/>
      <c r="AD3412" s="1"/>
      <c r="AE3412" s="1"/>
    </row>
    <row r="3413" spans="18:31" ht="75" customHeight="1">
      <c r="R3413" s="1"/>
      <c r="S3413" s="1"/>
      <c r="AD3413" s="1"/>
      <c r="AE3413" s="1"/>
    </row>
    <row r="3414" spans="18:31" ht="75" customHeight="1">
      <c r="R3414" s="1"/>
      <c r="S3414" s="1"/>
      <c r="AD3414" s="1"/>
      <c r="AE3414" s="1"/>
    </row>
    <row r="3415" spans="18:31" ht="75" customHeight="1">
      <c r="R3415" s="1"/>
      <c r="S3415" s="1"/>
      <c r="AD3415" s="1"/>
      <c r="AE3415" s="1"/>
    </row>
    <row r="3416" spans="18:31" ht="75" customHeight="1">
      <c r="R3416" s="1"/>
      <c r="S3416" s="1"/>
      <c r="AD3416" s="1"/>
      <c r="AE3416" s="1"/>
    </row>
    <row r="3417" spans="18:31" ht="75" customHeight="1">
      <c r="R3417" s="1"/>
      <c r="S3417" s="1"/>
      <c r="AD3417" s="1"/>
      <c r="AE3417" s="1"/>
    </row>
    <row r="3418" spans="18:31" ht="75" customHeight="1">
      <c r="R3418" s="1"/>
      <c r="S3418" s="1"/>
      <c r="AD3418" s="1"/>
      <c r="AE3418" s="1"/>
    </row>
    <row r="3419" spans="18:31" ht="75" customHeight="1">
      <c r="R3419" s="1"/>
      <c r="S3419" s="1"/>
      <c r="AD3419" s="1"/>
      <c r="AE3419" s="1"/>
    </row>
    <row r="3420" spans="18:31" ht="75" customHeight="1">
      <c r="R3420" s="1"/>
      <c r="S3420" s="1"/>
      <c r="AD3420" s="1"/>
      <c r="AE3420" s="1"/>
    </row>
    <row r="3421" spans="18:31" ht="75" customHeight="1">
      <c r="R3421" s="1"/>
      <c r="S3421" s="1"/>
      <c r="AD3421" s="1"/>
      <c r="AE3421" s="1"/>
    </row>
    <row r="3422" spans="18:31" ht="75" customHeight="1">
      <c r="R3422" s="1"/>
      <c r="S3422" s="1"/>
      <c r="AD3422" s="1"/>
      <c r="AE3422" s="1"/>
    </row>
    <row r="3423" spans="18:31" ht="75" customHeight="1">
      <c r="R3423" s="1"/>
      <c r="S3423" s="1"/>
      <c r="AD3423" s="1"/>
      <c r="AE3423" s="1"/>
    </row>
    <row r="3424" spans="18:31" ht="75" customHeight="1">
      <c r="R3424" s="1"/>
      <c r="S3424" s="1"/>
      <c r="AD3424" s="1"/>
      <c r="AE3424" s="1"/>
    </row>
    <row r="3425" spans="18:31" ht="75" customHeight="1">
      <c r="R3425" s="1"/>
      <c r="S3425" s="1"/>
      <c r="AD3425" s="1"/>
      <c r="AE3425" s="1"/>
    </row>
    <row r="3426" spans="18:31" ht="75" customHeight="1">
      <c r="R3426" s="1"/>
      <c r="S3426" s="1"/>
      <c r="AD3426" s="1"/>
      <c r="AE3426" s="1"/>
    </row>
    <row r="3427" spans="18:31" ht="75" customHeight="1">
      <c r="R3427" s="1"/>
      <c r="S3427" s="1"/>
      <c r="AD3427" s="1"/>
      <c r="AE3427" s="1"/>
    </row>
    <row r="3428" spans="18:31" ht="75" customHeight="1">
      <c r="R3428" s="1"/>
      <c r="S3428" s="1"/>
      <c r="AD3428" s="1"/>
      <c r="AE3428" s="1"/>
    </row>
    <row r="3429" spans="18:31" ht="75" customHeight="1">
      <c r="R3429" s="1"/>
      <c r="S3429" s="1"/>
      <c r="AD3429" s="1"/>
      <c r="AE3429" s="1"/>
    </row>
    <row r="3430" spans="18:31" ht="75" customHeight="1">
      <c r="R3430" s="1"/>
      <c r="S3430" s="1"/>
      <c r="AD3430" s="1"/>
      <c r="AE3430" s="1"/>
    </row>
    <row r="3431" spans="18:31" ht="75" customHeight="1">
      <c r="R3431" s="1"/>
      <c r="S3431" s="1"/>
      <c r="AD3431" s="1"/>
      <c r="AE3431" s="1"/>
    </row>
    <row r="3432" spans="18:31" ht="75" customHeight="1">
      <c r="R3432" s="1"/>
      <c r="S3432" s="1"/>
      <c r="AD3432" s="1"/>
      <c r="AE3432" s="1"/>
    </row>
    <row r="3433" spans="18:31" ht="75" customHeight="1">
      <c r="R3433" s="1"/>
      <c r="S3433" s="1"/>
      <c r="AD3433" s="1"/>
      <c r="AE3433" s="1"/>
    </row>
    <row r="3434" spans="18:31" ht="75" customHeight="1">
      <c r="R3434" s="1"/>
      <c r="S3434" s="1"/>
      <c r="AD3434" s="1"/>
      <c r="AE3434" s="1"/>
    </row>
    <row r="3435" spans="18:31" ht="75" customHeight="1">
      <c r="R3435" s="1"/>
      <c r="S3435" s="1"/>
      <c r="AD3435" s="1"/>
      <c r="AE3435" s="1"/>
    </row>
    <row r="3436" spans="18:31" ht="75" customHeight="1">
      <c r="R3436" s="1"/>
      <c r="S3436" s="1"/>
      <c r="AD3436" s="1"/>
      <c r="AE3436" s="1"/>
    </row>
    <row r="3437" spans="18:31" ht="75" customHeight="1">
      <c r="R3437" s="1"/>
      <c r="S3437" s="1"/>
      <c r="AD3437" s="1"/>
      <c r="AE3437" s="1"/>
    </row>
    <row r="3438" spans="18:31" ht="75" customHeight="1">
      <c r="R3438" s="1"/>
      <c r="S3438" s="1"/>
      <c r="AD3438" s="1"/>
      <c r="AE3438" s="1"/>
    </row>
    <row r="3439" spans="18:31" ht="75" customHeight="1">
      <c r="R3439" s="1"/>
      <c r="S3439" s="1"/>
      <c r="AD3439" s="1"/>
      <c r="AE3439" s="1"/>
    </row>
    <row r="3440" spans="18:31" ht="75" customHeight="1">
      <c r="R3440" s="1"/>
      <c r="S3440" s="1"/>
      <c r="AD3440" s="1"/>
      <c r="AE3440" s="1"/>
    </row>
    <row r="3441" spans="18:31" ht="75" customHeight="1">
      <c r="R3441" s="1"/>
      <c r="S3441" s="1"/>
      <c r="AD3441" s="1"/>
      <c r="AE3441" s="1"/>
    </row>
    <row r="3442" spans="18:31" ht="75" customHeight="1">
      <c r="R3442" s="1"/>
      <c r="S3442" s="1"/>
      <c r="AD3442" s="1"/>
      <c r="AE3442" s="1"/>
    </row>
    <row r="3443" spans="18:31" ht="75" customHeight="1">
      <c r="R3443" s="1"/>
      <c r="S3443" s="1"/>
      <c r="AD3443" s="1"/>
      <c r="AE3443" s="1"/>
    </row>
    <row r="3444" spans="18:31" ht="75" customHeight="1">
      <c r="R3444" s="1"/>
      <c r="S3444" s="1"/>
      <c r="AD3444" s="1"/>
      <c r="AE3444" s="1"/>
    </row>
    <row r="3445" spans="18:31" ht="75" customHeight="1">
      <c r="R3445" s="1"/>
      <c r="S3445" s="1"/>
      <c r="AD3445" s="1"/>
      <c r="AE3445" s="1"/>
    </row>
    <row r="3446" spans="18:31" ht="75" customHeight="1">
      <c r="R3446" s="1"/>
      <c r="S3446" s="1"/>
      <c r="AD3446" s="1"/>
      <c r="AE3446" s="1"/>
    </row>
    <row r="3447" spans="18:31" ht="75" customHeight="1">
      <c r="R3447" s="1"/>
      <c r="S3447" s="1"/>
      <c r="AD3447" s="1"/>
      <c r="AE3447" s="1"/>
    </row>
    <row r="3448" spans="18:31" ht="75" customHeight="1">
      <c r="R3448" s="1"/>
      <c r="S3448" s="1"/>
      <c r="AD3448" s="1"/>
      <c r="AE3448" s="1"/>
    </row>
    <row r="3449" spans="18:31" ht="75" customHeight="1">
      <c r="R3449" s="1"/>
      <c r="S3449" s="1"/>
      <c r="AD3449" s="1"/>
      <c r="AE3449" s="1"/>
    </row>
    <row r="3450" spans="18:31" ht="75" customHeight="1">
      <c r="R3450" s="1"/>
      <c r="S3450" s="1"/>
      <c r="AD3450" s="1"/>
      <c r="AE3450" s="1"/>
    </row>
    <row r="3451" spans="18:31" ht="75" customHeight="1">
      <c r="R3451" s="1"/>
      <c r="S3451" s="1"/>
      <c r="AD3451" s="1"/>
      <c r="AE3451" s="1"/>
    </row>
    <row r="3452" spans="18:31" ht="75" customHeight="1">
      <c r="R3452" s="1"/>
      <c r="S3452" s="1"/>
      <c r="AD3452" s="1"/>
      <c r="AE3452" s="1"/>
    </row>
    <row r="3453" spans="18:31" ht="75" customHeight="1">
      <c r="R3453" s="1"/>
      <c r="S3453" s="1"/>
      <c r="AD3453" s="1"/>
      <c r="AE3453" s="1"/>
    </row>
    <row r="3454" spans="18:31" ht="75" customHeight="1">
      <c r="R3454" s="1"/>
      <c r="S3454" s="1"/>
      <c r="AD3454" s="1"/>
      <c r="AE3454" s="1"/>
    </row>
    <row r="3455" spans="18:31" ht="75" customHeight="1">
      <c r="R3455" s="1"/>
      <c r="S3455" s="1"/>
      <c r="AD3455" s="1"/>
      <c r="AE3455" s="1"/>
    </row>
    <row r="3456" spans="18:31" ht="75" customHeight="1">
      <c r="R3456" s="1"/>
      <c r="S3456" s="1"/>
      <c r="AD3456" s="1"/>
      <c r="AE3456" s="1"/>
    </row>
    <row r="3457" spans="18:31" ht="75" customHeight="1">
      <c r="R3457" s="1"/>
      <c r="S3457" s="1"/>
      <c r="AD3457" s="1"/>
      <c r="AE3457" s="1"/>
    </row>
    <row r="3458" spans="18:31" ht="75" customHeight="1">
      <c r="R3458" s="1"/>
      <c r="S3458" s="1"/>
      <c r="AD3458" s="1"/>
      <c r="AE3458" s="1"/>
    </row>
    <row r="3459" spans="18:31" ht="75" customHeight="1">
      <c r="R3459" s="1"/>
      <c r="S3459" s="1"/>
      <c r="AD3459" s="1"/>
      <c r="AE3459" s="1"/>
    </row>
    <row r="3460" spans="18:31" ht="75" customHeight="1">
      <c r="R3460" s="1"/>
      <c r="S3460" s="1"/>
      <c r="AD3460" s="1"/>
      <c r="AE3460" s="1"/>
    </row>
    <row r="3461" spans="18:31" ht="75" customHeight="1">
      <c r="R3461" s="1"/>
      <c r="S3461" s="1"/>
      <c r="AD3461" s="1"/>
      <c r="AE3461" s="1"/>
    </row>
    <row r="3462" spans="18:31" ht="75" customHeight="1">
      <c r="R3462" s="1"/>
      <c r="S3462" s="1"/>
      <c r="AD3462" s="1"/>
      <c r="AE3462" s="1"/>
    </row>
    <row r="3463" spans="18:31" ht="75" customHeight="1">
      <c r="R3463" s="1"/>
      <c r="S3463" s="1"/>
      <c r="AD3463" s="1"/>
      <c r="AE3463" s="1"/>
    </row>
    <row r="3464" spans="18:31" ht="75" customHeight="1">
      <c r="R3464" s="1"/>
      <c r="S3464" s="1"/>
      <c r="AD3464" s="1"/>
      <c r="AE3464" s="1"/>
    </row>
    <row r="3465" spans="18:31" ht="75" customHeight="1">
      <c r="R3465" s="1"/>
      <c r="S3465" s="1"/>
      <c r="AD3465" s="1"/>
      <c r="AE3465" s="1"/>
    </row>
    <row r="3466" spans="18:31" ht="75" customHeight="1">
      <c r="R3466" s="1"/>
      <c r="S3466" s="1"/>
      <c r="AD3466" s="1"/>
      <c r="AE3466" s="1"/>
    </row>
    <row r="3467" spans="18:31" ht="75" customHeight="1">
      <c r="R3467" s="1"/>
      <c r="S3467" s="1"/>
      <c r="AD3467" s="1"/>
      <c r="AE3467" s="1"/>
    </row>
    <row r="3468" spans="18:31" ht="75" customHeight="1">
      <c r="R3468" s="1"/>
      <c r="S3468" s="1"/>
      <c r="AD3468" s="1"/>
      <c r="AE3468" s="1"/>
    </row>
    <row r="3469" spans="18:31" ht="75" customHeight="1">
      <c r="R3469" s="1"/>
      <c r="S3469" s="1"/>
      <c r="AD3469" s="1"/>
      <c r="AE3469" s="1"/>
    </row>
    <row r="3470" spans="18:31" ht="75" customHeight="1">
      <c r="R3470" s="1"/>
      <c r="S3470" s="1"/>
      <c r="AD3470" s="1"/>
      <c r="AE3470" s="1"/>
    </row>
    <row r="3471" spans="18:31" ht="75" customHeight="1">
      <c r="R3471" s="1"/>
      <c r="S3471" s="1"/>
      <c r="AD3471" s="1"/>
      <c r="AE3471" s="1"/>
    </row>
    <row r="3472" spans="18:31" ht="75" customHeight="1">
      <c r="R3472" s="1"/>
      <c r="S3472" s="1"/>
      <c r="AD3472" s="1"/>
      <c r="AE3472" s="1"/>
    </row>
    <row r="3473" spans="18:31" ht="75" customHeight="1">
      <c r="R3473" s="1"/>
      <c r="S3473" s="1"/>
      <c r="AD3473" s="1"/>
      <c r="AE3473" s="1"/>
    </row>
    <row r="3474" spans="18:31" ht="75" customHeight="1">
      <c r="R3474" s="1"/>
      <c r="S3474" s="1"/>
      <c r="AD3474" s="1"/>
      <c r="AE3474" s="1"/>
    </row>
    <row r="3475" spans="18:31" ht="75" customHeight="1">
      <c r="R3475" s="1"/>
      <c r="S3475" s="1"/>
      <c r="AD3475" s="1"/>
      <c r="AE3475" s="1"/>
    </row>
    <row r="3476" spans="18:31" ht="75" customHeight="1">
      <c r="R3476" s="1"/>
      <c r="S3476" s="1"/>
      <c r="AD3476" s="1"/>
      <c r="AE3476" s="1"/>
    </row>
    <row r="3477" spans="18:31" ht="75" customHeight="1">
      <c r="R3477" s="1"/>
      <c r="S3477" s="1"/>
      <c r="AD3477" s="1"/>
      <c r="AE3477" s="1"/>
    </row>
    <row r="3478" spans="18:31" ht="75" customHeight="1">
      <c r="R3478" s="1"/>
      <c r="S3478" s="1"/>
      <c r="AD3478" s="1"/>
      <c r="AE3478" s="1"/>
    </row>
    <row r="3479" spans="18:31" ht="75" customHeight="1">
      <c r="R3479" s="1"/>
      <c r="S3479" s="1"/>
      <c r="AD3479" s="1"/>
      <c r="AE3479" s="1"/>
    </row>
    <row r="3480" spans="18:31" ht="75" customHeight="1">
      <c r="R3480" s="1"/>
      <c r="S3480" s="1"/>
      <c r="AD3480" s="1"/>
      <c r="AE3480" s="1"/>
    </row>
    <row r="3481" spans="18:31" ht="75" customHeight="1">
      <c r="R3481" s="1"/>
      <c r="S3481" s="1"/>
      <c r="AD3481" s="1"/>
      <c r="AE3481" s="1"/>
    </row>
    <row r="3482" spans="18:31" ht="75" customHeight="1">
      <c r="R3482" s="1"/>
      <c r="S3482" s="1"/>
      <c r="AD3482" s="1"/>
      <c r="AE3482" s="1"/>
    </row>
    <row r="3483" spans="18:31" ht="75" customHeight="1">
      <c r="R3483" s="1"/>
      <c r="S3483" s="1"/>
      <c r="AD3483" s="1"/>
      <c r="AE3483" s="1"/>
    </row>
    <row r="3484" spans="18:31" ht="75" customHeight="1">
      <c r="R3484" s="1"/>
      <c r="S3484" s="1"/>
      <c r="AD3484" s="1"/>
      <c r="AE3484" s="1"/>
    </row>
    <row r="3485" spans="18:31" ht="75" customHeight="1">
      <c r="R3485" s="1"/>
      <c r="S3485" s="1"/>
      <c r="AD3485" s="1"/>
      <c r="AE3485" s="1"/>
    </row>
    <row r="3486" spans="18:31" ht="75" customHeight="1">
      <c r="R3486" s="1"/>
      <c r="S3486" s="1"/>
      <c r="AD3486" s="1"/>
      <c r="AE3486" s="1"/>
    </row>
    <row r="3487" spans="18:31" ht="75" customHeight="1">
      <c r="R3487" s="1"/>
      <c r="S3487" s="1"/>
      <c r="AD3487" s="1"/>
      <c r="AE3487" s="1"/>
    </row>
    <row r="3488" spans="18:31" ht="75" customHeight="1">
      <c r="R3488" s="1"/>
      <c r="S3488" s="1"/>
      <c r="AD3488" s="1"/>
      <c r="AE3488" s="1"/>
    </row>
    <row r="3489" spans="18:31" ht="75" customHeight="1">
      <c r="R3489" s="1"/>
      <c r="S3489" s="1"/>
      <c r="AD3489" s="1"/>
      <c r="AE3489" s="1"/>
    </row>
    <row r="3490" spans="18:31" ht="75" customHeight="1">
      <c r="R3490" s="1"/>
      <c r="S3490" s="1"/>
      <c r="AD3490" s="1"/>
      <c r="AE3490" s="1"/>
    </row>
    <row r="3491" spans="18:31" ht="75" customHeight="1">
      <c r="R3491" s="1"/>
      <c r="S3491" s="1"/>
      <c r="AD3491" s="1"/>
      <c r="AE3491" s="1"/>
    </row>
    <row r="3492" spans="18:31" ht="75" customHeight="1">
      <c r="R3492" s="1"/>
      <c r="S3492" s="1"/>
      <c r="AD3492" s="1"/>
      <c r="AE3492" s="1"/>
    </row>
    <row r="3493" spans="18:31" ht="75" customHeight="1">
      <c r="R3493" s="1"/>
      <c r="S3493" s="1"/>
      <c r="AD3493" s="1"/>
      <c r="AE3493" s="1"/>
    </row>
    <row r="3494" spans="18:31" ht="75" customHeight="1">
      <c r="R3494" s="1"/>
      <c r="S3494" s="1"/>
      <c r="AD3494" s="1"/>
      <c r="AE3494" s="1"/>
    </row>
    <row r="3495" spans="18:31" ht="75" customHeight="1">
      <c r="R3495" s="1"/>
      <c r="S3495" s="1"/>
      <c r="AD3495" s="1"/>
      <c r="AE3495" s="1"/>
    </row>
    <row r="3496" spans="18:31" ht="75" customHeight="1">
      <c r="R3496" s="1"/>
      <c r="S3496" s="1"/>
      <c r="AD3496" s="1"/>
      <c r="AE3496" s="1"/>
    </row>
    <row r="3497" spans="18:31" ht="75" customHeight="1">
      <c r="R3497" s="1"/>
      <c r="S3497" s="1"/>
      <c r="AD3497" s="1"/>
      <c r="AE3497" s="1"/>
    </row>
    <row r="3498" spans="18:31" ht="75" customHeight="1">
      <c r="R3498" s="1"/>
      <c r="S3498" s="1"/>
      <c r="AD3498" s="1"/>
      <c r="AE3498" s="1"/>
    </row>
    <row r="3499" spans="18:31" ht="75" customHeight="1">
      <c r="R3499" s="1"/>
      <c r="S3499" s="1"/>
      <c r="AD3499" s="1"/>
      <c r="AE3499" s="1"/>
    </row>
    <row r="3500" spans="18:31" ht="75" customHeight="1">
      <c r="R3500" s="1"/>
      <c r="S3500" s="1"/>
      <c r="AD3500" s="1"/>
      <c r="AE3500" s="1"/>
    </row>
    <row r="3501" spans="18:31" ht="75" customHeight="1">
      <c r="R3501" s="1"/>
      <c r="S3501" s="1"/>
      <c r="AD3501" s="1"/>
      <c r="AE3501" s="1"/>
    </row>
    <row r="3502" spans="18:31" ht="75" customHeight="1">
      <c r="R3502" s="1"/>
      <c r="S3502" s="1"/>
      <c r="AD3502" s="1"/>
      <c r="AE3502" s="1"/>
    </row>
    <row r="3503" spans="18:31" ht="75" customHeight="1">
      <c r="R3503" s="1"/>
      <c r="S3503" s="1"/>
      <c r="AD3503" s="1"/>
      <c r="AE3503" s="1"/>
    </row>
    <row r="3504" spans="18:31" ht="75" customHeight="1">
      <c r="R3504" s="1"/>
      <c r="S3504" s="1"/>
      <c r="AD3504" s="1"/>
      <c r="AE3504" s="1"/>
    </row>
    <row r="3505" spans="18:31" ht="75" customHeight="1">
      <c r="R3505" s="1"/>
      <c r="S3505" s="1"/>
      <c r="AD3505" s="1"/>
      <c r="AE3505" s="1"/>
    </row>
    <row r="3506" spans="18:31" ht="75" customHeight="1">
      <c r="R3506" s="1"/>
      <c r="S3506" s="1"/>
      <c r="AD3506" s="1"/>
      <c r="AE3506" s="1"/>
    </row>
    <row r="3507" spans="18:31" ht="75" customHeight="1">
      <c r="R3507" s="1"/>
      <c r="S3507" s="1"/>
      <c r="AD3507" s="1"/>
      <c r="AE3507" s="1"/>
    </row>
    <row r="3508" spans="18:31" ht="75" customHeight="1">
      <c r="R3508" s="1"/>
      <c r="S3508" s="1"/>
      <c r="AD3508" s="1"/>
      <c r="AE3508" s="1"/>
    </row>
    <row r="3509" spans="18:31" ht="75" customHeight="1">
      <c r="R3509" s="1"/>
      <c r="S3509" s="1"/>
      <c r="AD3509" s="1"/>
      <c r="AE3509" s="1"/>
    </row>
    <row r="3510" spans="18:31" ht="75" customHeight="1">
      <c r="R3510" s="1"/>
      <c r="S3510" s="1"/>
      <c r="AD3510" s="1"/>
      <c r="AE3510" s="1"/>
    </row>
    <row r="3511" spans="18:31" ht="75" customHeight="1">
      <c r="R3511" s="1"/>
      <c r="S3511" s="1"/>
      <c r="AD3511" s="1"/>
      <c r="AE3511" s="1"/>
    </row>
    <row r="3512" spans="18:31" ht="75" customHeight="1">
      <c r="R3512" s="1"/>
      <c r="S3512" s="1"/>
      <c r="AD3512" s="1"/>
      <c r="AE3512" s="1"/>
    </row>
    <row r="3513" spans="18:31" ht="75" customHeight="1">
      <c r="R3513" s="1"/>
      <c r="S3513" s="1"/>
      <c r="AD3513" s="1"/>
      <c r="AE3513" s="1"/>
    </row>
    <row r="3514" spans="18:31" ht="75" customHeight="1">
      <c r="R3514" s="1"/>
      <c r="S3514" s="1"/>
      <c r="AD3514" s="1"/>
      <c r="AE3514" s="1"/>
    </row>
    <row r="3515" spans="18:31" ht="75" customHeight="1">
      <c r="R3515" s="1"/>
      <c r="S3515" s="1"/>
      <c r="AD3515" s="1"/>
      <c r="AE3515" s="1"/>
    </row>
    <row r="3516" spans="18:31" ht="75" customHeight="1">
      <c r="R3516" s="1"/>
      <c r="S3516" s="1"/>
      <c r="AD3516" s="1"/>
      <c r="AE3516" s="1"/>
    </row>
    <row r="3517" spans="18:31" ht="75" customHeight="1">
      <c r="R3517" s="1"/>
      <c r="S3517" s="1"/>
      <c r="AD3517" s="1"/>
      <c r="AE3517" s="1"/>
    </row>
    <row r="3518" spans="18:31" ht="75" customHeight="1">
      <c r="R3518" s="1"/>
      <c r="S3518" s="1"/>
      <c r="AD3518" s="1"/>
      <c r="AE3518" s="1"/>
    </row>
    <row r="3519" spans="18:31" ht="75" customHeight="1">
      <c r="R3519" s="1"/>
      <c r="S3519" s="1"/>
      <c r="AD3519" s="1"/>
      <c r="AE3519" s="1"/>
    </row>
    <row r="3520" spans="18:31" ht="75" customHeight="1">
      <c r="R3520" s="1"/>
      <c r="S3520" s="1"/>
      <c r="AD3520" s="1"/>
      <c r="AE3520" s="1"/>
    </row>
    <row r="3521" spans="18:31" ht="75" customHeight="1">
      <c r="R3521" s="1"/>
      <c r="S3521" s="1"/>
      <c r="AD3521" s="1"/>
      <c r="AE3521" s="1"/>
    </row>
    <row r="3522" spans="18:31" ht="75" customHeight="1">
      <c r="R3522" s="1"/>
      <c r="S3522" s="1"/>
      <c r="AD3522" s="1"/>
      <c r="AE3522" s="1"/>
    </row>
    <row r="3523" spans="18:31" ht="75" customHeight="1">
      <c r="R3523" s="1"/>
      <c r="S3523" s="1"/>
      <c r="AD3523" s="1"/>
      <c r="AE3523" s="1"/>
    </row>
    <row r="3524" spans="18:31" ht="75" customHeight="1">
      <c r="R3524" s="1"/>
      <c r="S3524" s="1"/>
      <c r="AD3524" s="1"/>
      <c r="AE3524" s="1"/>
    </row>
    <row r="3525" spans="18:31" ht="75" customHeight="1">
      <c r="R3525" s="1"/>
      <c r="S3525" s="1"/>
      <c r="AD3525" s="1"/>
      <c r="AE3525" s="1"/>
    </row>
    <row r="3526" spans="18:31" ht="75" customHeight="1">
      <c r="R3526" s="1"/>
      <c r="S3526" s="1"/>
      <c r="AD3526" s="1"/>
      <c r="AE3526" s="1"/>
    </row>
    <row r="3527" spans="18:31" ht="75" customHeight="1">
      <c r="R3527" s="1"/>
      <c r="S3527" s="1"/>
      <c r="AD3527" s="1"/>
      <c r="AE3527" s="1"/>
    </row>
    <row r="3528" spans="18:31" ht="75" customHeight="1">
      <c r="R3528" s="1"/>
      <c r="S3528" s="1"/>
      <c r="AD3528" s="1"/>
      <c r="AE3528" s="1"/>
    </row>
    <row r="3529" spans="18:31" ht="75" customHeight="1">
      <c r="R3529" s="1"/>
      <c r="S3529" s="1"/>
      <c r="AD3529" s="1"/>
      <c r="AE3529" s="1"/>
    </row>
    <row r="3530" spans="18:31" ht="75" customHeight="1">
      <c r="R3530" s="1"/>
      <c r="S3530" s="1"/>
      <c r="AD3530" s="1"/>
      <c r="AE3530" s="1"/>
    </row>
    <row r="3531" spans="18:31" ht="75" customHeight="1">
      <c r="R3531" s="1"/>
      <c r="S3531" s="1"/>
      <c r="AD3531" s="1"/>
      <c r="AE3531" s="1"/>
    </row>
    <row r="3532" spans="18:31" ht="75" customHeight="1">
      <c r="R3532" s="1"/>
      <c r="S3532" s="1"/>
      <c r="AD3532" s="1"/>
      <c r="AE3532" s="1"/>
    </row>
    <row r="3533" spans="18:31" ht="75" customHeight="1">
      <c r="R3533" s="1"/>
      <c r="S3533" s="1"/>
      <c r="AD3533" s="1"/>
      <c r="AE3533" s="1"/>
    </row>
    <row r="3534" spans="18:31" ht="75" customHeight="1">
      <c r="R3534" s="1"/>
      <c r="S3534" s="1"/>
      <c r="AD3534" s="1"/>
      <c r="AE3534" s="1"/>
    </row>
    <row r="3535" spans="18:31" ht="75" customHeight="1">
      <c r="R3535" s="1"/>
      <c r="S3535" s="1"/>
      <c r="AD3535" s="1"/>
      <c r="AE3535" s="1"/>
    </row>
    <row r="3536" spans="18:31" ht="75" customHeight="1">
      <c r="R3536" s="1"/>
      <c r="S3536" s="1"/>
      <c r="AD3536" s="1"/>
      <c r="AE3536" s="1"/>
    </row>
    <row r="3537" spans="18:31" ht="75" customHeight="1">
      <c r="R3537" s="1"/>
      <c r="S3537" s="1"/>
      <c r="AD3537" s="1"/>
      <c r="AE3537" s="1"/>
    </row>
    <row r="3538" spans="18:31" ht="75" customHeight="1">
      <c r="R3538" s="1"/>
      <c r="S3538" s="1"/>
      <c r="AD3538" s="1"/>
      <c r="AE3538" s="1"/>
    </row>
    <row r="3539" spans="18:31" ht="75" customHeight="1">
      <c r="R3539" s="1"/>
      <c r="S3539" s="1"/>
      <c r="AD3539" s="1"/>
      <c r="AE3539" s="1"/>
    </row>
    <row r="3540" spans="18:31" ht="75" customHeight="1">
      <c r="R3540" s="1"/>
      <c r="S3540" s="1"/>
      <c r="AD3540" s="1"/>
      <c r="AE3540" s="1"/>
    </row>
    <row r="3541" spans="18:31" ht="75" customHeight="1">
      <c r="R3541" s="1"/>
      <c r="S3541" s="1"/>
      <c r="AD3541" s="1"/>
      <c r="AE3541" s="1"/>
    </row>
    <row r="3542" spans="18:31" ht="75" customHeight="1">
      <c r="R3542" s="1"/>
      <c r="S3542" s="1"/>
      <c r="AD3542" s="1"/>
      <c r="AE3542" s="1"/>
    </row>
    <row r="3543" spans="18:31" ht="75" customHeight="1">
      <c r="R3543" s="1"/>
      <c r="S3543" s="1"/>
      <c r="AD3543" s="1"/>
      <c r="AE3543" s="1"/>
    </row>
    <row r="3544" spans="18:31" ht="75" customHeight="1">
      <c r="R3544" s="1"/>
      <c r="S3544" s="1"/>
      <c r="AD3544" s="1"/>
      <c r="AE3544" s="1"/>
    </row>
    <row r="3545" spans="18:31" ht="75" customHeight="1">
      <c r="R3545" s="1"/>
      <c r="S3545" s="1"/>
      <c r="AD3545" s="1"/>
      <c r="AE3545" s="1"/>
    </row>
    <row r="3546" spans="18:31" ht="75" customHeight="1">
      <c r="R3546" s="1"/>
      <c r="S3546" s="1"/>
      <c r="AD3546" s="1"/>
      <c r="AE3546" s="1"/>
    </row>
    <row r="3547" spans="18:31" ht="75" customHeight="1">
      <c r="R3547" s="1"/>
      <c r="S3547" s="1"/>
      <c r="AD3547" s="1"/>
      <c r="AE3547" s="1"/>
    </row>
    <row r="3548" spans="18:31" ht="75" customHeight="1">
      <c r="R3548" s="1"/>
      <c r="S3548" s="1"/>
      <c r="AD3548" s="1"/>
      <c r="AE3548" s="1"/>
    </row>
    <row r="3549" spans="18:31" ht="75" customHeight="1">
      <c r="R3549" s="1"/>
      <c r="S3549" s="1"/>
      <c r="AD3549" s="1"/>
      <c r="AE3549" s="1"/>
    </row>
    <row r="3550" spans="18:31" ht="75" customHeight="1">
      <c r="R3550" s="1"/>
      <c r="S3550" s="1"/>
      <c r="AD3550" s="1"/>
      <c r="AE3550" s="1"/>
    </row>
    <row r="3551" spans="18:31" ht="75" customHeight="1">
      <c r="R3551" s="1"/>
      <c r="S3551" s="1"/>
      <c r="AD3551" s="1"/>
      <c r="AE3551" s="1"/>
    </row>
    <row r="3552" spans="18:31" ht="75" customHeight="1">
      <c r="R3552" s="1"/>
      <c r="S3552" s="1"/>
      <c r="AD3552" s="1"/>
      <c r="AE3552" s="1"/>
    </row>
    <row r="3553" spans="18:31" ht="75" customHeight="1">
      <c r="R3553" s="1"/>
      <c r="S3553" s="1"/>
      <c r="AD3553" s="1"/>
      <c r="AE3553" s="1"/>
    </row>
    <row r="3554" spans="18:31" ht="75" customHeight="1">
      <c r="R3554" s="1"/>
      <c r="S3554" s="1"/>
      <c r="AD3554" s="1"/>
      <c r="AE3554" s="1"/>
    </row>
    <row r="3555" spans="18:31" ht="75" customHeight="1">
      <c r="R3555" s="1"/>
      <c r="S3555" s="1"/>
      <c r="AD3555" s="1"/>
      <c r="AE3555" s="1"/>
    </row>
    <row r="3556" spans="18:31" ht="75" customHeight="1">
      <c r="R3556" s="1"/>
      <c r="S3556" s="1"/>
      <c r="AD3556" s="1"/>
      <c r="AE3556" s="1"/>
    </row>
    <row r="3557" spans="18:31" ht="75" customHeight="1">
      <c r="R3557" s="1"/>
      <c r="S3557" s="1"/>
      <c r="AD3557" s="1"/>
      <c r="AE3557" s="1"/>
    </row>
    <row r="3558" spans="18:31" ht="75" customHeight="1">
      <c r="R3558" s="1"/>
      <c r="S3558" s="1"/>
      <c r="AD3558" s="1"/>
      <c r="AE3558" s="1"/>
    </row>
    <row r="3559" spans="18:31" ht="75" customHeight="1">
      <c r="R3559" s="1"/>
      <c r="S3559" s="1"/>
      <c r="AD3559" s="1"/>
      <c r="AE3559" s="1"/>
    </row>
    <row r="3560" spans="18:31" ht="75" customHeight="1">
      <c r="R3560" s="1"/>
      <c r="S3560" s="1"/>
      <c r="AD3560" s="1"/>
      <c r="AE3560" s="1"/>
    </row>
    <row r="3561" spans="18:31" ht="75" customHeight="1">
      <c r="R3561" s="1"/>
      <c r="S3561" s="1"/>
      <c r="AD3561" s="1"/>
      <c r="AE3561" s="1"/>
    </row>
    <row r="3562" spans="18:31" ht="75" customHeight="1">
      <c r="R3562" s="1"/>
      <c r="S3562" s="1"/>
      <c r="AD3562" s="1"/>
      <c r="AE3562" s="1"/>
    </row>
    <row r="3563" spans="18:31" ht="75" customHeight="1">
      <c r="R3563" s="1"/>
      <c r="S3563" s="1"/>
      <c r="AD3563" s="1"/>
      <c r="AE3563" s="1"/>
    </row>
    <row r="3564" spans="18:31" ht="75" customHeight="1">
      <c r="R3564" s="1"/>
      <c r="S3564" s="1"/>
      <c r="AD3564" s="1"/>
      <c r="AE3564" s="1"/>
    </row>
    <row r="3565" spans="18:31" ht="75" customHeight="1">
      <c r="R3565" s="1"/>
      <c r="S3565" s="1"/>
      <c r="AD3565" s="1"/>
      <c r="AE3565" s="1"/>
    </row>
    <row r="3566" spans="18:31" ht="75" customHeight="1">
      <c r="R3566" s="1"/>
      <c r="S3566" s="1"/>
      <c r="AD3566" s="1"/>
      <c r="AE3566" s="1"/>
    </row>
    <row r="3567" spans="18:31" ht="75" customHeight="1">
      <c r="R3567" s="1"/>
      <c r="S3567" s="1"/>
      <c r="AD3567" s="1"/>
      <c r="AE3567" s="1"/>
    </row>
    <row r="3568" spans="18:31" ht="75" customHeight="1">
      <c r="R3568" s="1"/>
      <c r="S3568" s="1"/>
      <c r="AD3568" s="1"/>
      <c r="AE3568" s="1"/>
    </row>
    <row r="3569" spans="18:31" ht="75" customHeight="1">
      <c r="R3569" s="1"/>
      <c r="S3569" s="1"/>
      <c r="AD3569" s="1"/>
      <c r="AE3569" s="1"/>
    </row>
    <row r="3570" spans="18:31" ht="75" customHeight="1">
      <c r="R3570" s="1"/>
      <c r="S3570" s="1"/>
      <c r="AD3570" s="1"/>
      <c r="AE3570" s="1"/>
    </row>
    <row r="3571" spans="18:31" ht="75" customHeight="1">
      <c r="R3571" s="1"/>
      <c r="S3571" s="1"/>
      <c r="AD3571" s="1"/>
      <c r="AE3571" s="1"/>
    </row>
    <row r="3572" spans="18:31" ht="75" customHeight="1">
      <c r="R3572" s="1"/>
      <c r="S3572" s="1"/>
      <c r="AD3572" s="1"/>
      <c r="AE3572" s="1"/>
    </row>
    <row r="3573" spans="18:31" ht="75" customHeight="1">
      <c r="R3573" s="1"/>
      <c r="S3573" s="1"/>
      <c r="AD3573" s="1"/>
      <c r="AE3573" s="1"/>
    </row>
    <row r="3574" spans="18:31" ht="75" customHeight="1">
      <c r="R3574" s="1"/>
      <c r="S3574" s="1"/>
      <c r="AD3574" s="1"/>
      <c r="AE3574" s="1"/>
    </row>
    <row r="3575" spans="18:31" ht="75" customHeight="1">
      <c r="R3575" s="1"/>
      <c r="S3575" s="1"/>
      <c r="AD3575" s="1"/>
      <c r="AE3575" s="1"/>
    </row>
    <row r="3576" spans="18:31" ht="75" customHeight="1">
      <c r="R3576" s="1"/>
      <c r="S3576" s="1"/>
      <c r="AD3576" s="1"/>
      <c r="AE3576" s="1"/>
    </row>
    <row r="3577" spans="18:31" ht="75" customHeight="1">
      <c r="R3577" s="1"/>
      <c r="S3577" s="1"/>
      <c r="AD3577" s="1"/>
      <c r="AE3577" s="1"/>
    </row>
    <row r="3578" spans="18:31" ht="75" customHeight="1">
      <c r="R3578" s="1"/>
      <c r="S3578" s="1"/>
      <c r="AD3578" s="1"/>
      <c r="AE3578" s="1"/>
    </row>
    <row r="3579" spans="18:31" ht="75" customHeight="1">
      <c r="R3579" s="1"/>
      <c r="S3579" s="1"/>
      <c r="AD3579" s="1"/>
      <c r="AE3579" s="1"/>
    </row>
    <row r="3580" spans="18:31" ht="75" customHeight="1">
      <c r="R3580" s="1"/>
      <c r="S3580" s="1"/>
      <c r="AD3580" s="1"/>
      <c r="AE3580" s="1"/>
    </row>
    <row r="3581" spans="18:31" ht="75" customHeight="1">
      <c r="R3581" s="1"/>
      <c r="S3581" s="1"/>
      <c r="AD3581" s="1"/>
      <c r="AE3581" s="1"/>
    </row>
    <row r="3582" spans="18:31" ht="75" customHeight="1">
      <c r="R3582" s="1"/>
      <c r="S3582" s="1"/>
      <c r="AD3582" s="1"/>
      <c r="AE3582" s="1"/>
    </row>
    <row r="3583" spans="18:31" ht="75" customHeight="1">
      <c r="R3583" s="1"/>
      <c r="S3583" s="1"/>
      <c r="AD3583" s="1"/>
      <c r="AE3583" s="1"/>
    </row>
    <row r="3584" spans="18:31" ht="75" customHeight="1">
      <c r="R3584" s="1"/>
      <c r="S3584" s="1"/>
      <c r="AD3584" s="1"/>
      <c r="AE3584" s="1"/>
    </row>
    <row r="3585" spans="18:31" ht="75" customHeight="1">
      <c r="R3585" s="1"/>
      <c r="S3585" s="1"/>
      <c r="AD3585" s="1"/>
      <c r="AE3585" s="1"/>
    </row>
    <row r="3586" spans="18:31" ht="75" customHeight="1">
      <c r="R3586" s="1"/>
      <c r="S3586" s="1"/>
      <c r="AD3586" s="1"/>
      <c r="AE3586" s="1"/>
    </row>
    <row r="3587" spans="18:31" ht="75" customHeight="1">
      <c r="R3587" s="1"/>
      <c r="S3587" s="1"/>
      <c r="AD3587" s="1"/>
      <c r="AE3587" s="1"/>
    </row>
    <row r="3588" spans="18:31" ht="75" customHeight="1">
      <c r="R3588" s="1"/>
      <c r="S3588" s="1"/>
      <c r="AD3588" s="1"/>
      <c r="AE3588" s="1"/>
    </row>
    <row r="3589" spans="18:31" ht="75" customHeight="1">
      <c r="R3589" s="1"/>
      <c r="S3589" s="1"/>
      <c r="AD3589" s="1"/>
      <c r="AE3589" s="1"/>
    </row>
    <row r="3590" spans="18:31" ht="75" customHeight="1">
      <c r="R3590" s="1"/>
      <c r="S3590" s="1"/>
      <c r="AD3590" s="1"/>
      <c r="AE3590" s="1"/>
    </row>
    <row r="3591" spans="18:31" ht="75" customHeight="1">
      <c r="R3591" s="1"/>
      <c r="S3591" s="1"/>
      <c r="AD3591" s="1"/>
      <c r="AE3591" s="1"/>
    </row>
    <row r="3592" spans="18:31" ht="75" customHeight="1">
      <c r="R3592" s="1"/>
      <c r="S3592" s="1"/>
      <c r="AD3592" s="1"/>
      <c r="AE3592" s="1"/>
    </row>
    <row r="3593" spans="18:31" ht="75" customHeight="1">
      <c r="R3593" s="1"/>
      <c r="S3593" s="1"/>
      <c r="AD3593" s="1"/>
      <c r="AE3593" s="1"/>
    </row>
    <row r="3594" spans="18:31" ht="75" customHeight="1">
      <c r="R3594" s="1"/>
      <c r="S3594" s="1"/>
      <c r="AD3594" s="1"/>
      <c r="AE3594" s="1"/>
    </row>
    <row r="3595" spans="18:31" ht="75" customHeight="1">
      <c r="R3595" s="1"/>
      <c r="S3595" s="1"/>
      <c r="AD3595" s="1"/>
      <c r="AE3595" s="1"/>
    </row>
    <row r="3596" spans="18:31" ht="75" customHeight="1">
      <c r="R3596" s="1"/>
      <c r="S3596" s="1"/>
      <c r="AD3596" s="1"/>
      <c r="AE3596" s="1"/>
    </row>
    <row r="3597" spans="18:31" ht="75" customHeight="1">
      <c r="R3597" s="1"/>
      <c r="S3597" s="1"/>
      <c r="AD3597" s="1"/>
      <c r="AE3597" s="1"/>
    </row>
    <row r="3598" spans="18:31" ht="75" customHeight="1">
      <c r="R3598" s="1"/>
      <c r="S3598" s="1"/>
      <c r="AD3598" s="1"/>
      <c r="AE3598" s="1"/>
    </row>
    <row r="3599" spans="18:31" ht="75" customHeight="1">
      <c r="R3599" s="1"/>
      <c r="S3599" s="1"/>
      <c r="AD3599" s="1"/>
      <c r="AE3599" s="1"/>
    </row>
    <row r="3600" spans="18:31" ht="75" customHeight="1">
      <c r="R3600" s="1"/>
      <c r="S3600" s="1"/>
      <c r="AD3600" s="1"/>
      <c r="AE3600" s="1"/>
    </row>
    <row r="3601" spans="18:31" ht="75" customHeight="1">
      <c r="R3601" s="1"/>
      <c r="S3601" s="1"/>
      <c r="AD3601" s="1"/>
      <c r="AE3601" s="1"/>
    </row>
    <row r="3602" spans="18:31" ht="75" customHeight="1">
      <c r="R3602" s="1"/>
      <c r="S3602" s="1"/>
      <c r="AD3602" s="1"/>
      <c r="AE3602" s="1"/>
    </row>
    <row r="3603" spans="18:31" ht="75" customHeight="1">
      <c r="R3603" s="1"/>
      <c r="S3603" s="1"/>
      <c r="AD3603" s="1"/>
      <c r="AE3603" s="1"/>
    </row>
    <row r="3604" spans="18:31" ht="75" customHeight="1">
      <c r="R3604" s="1"/>
      <c r="S3604" s="1"/>
      <c r="AD3604" s="1"/>
      <c r="AE3604" s="1"/>
    </row>
    <row r="3605" spans="18:31" ht="75" customHeight="1">
      <c r="R3605" s="1"/>
      <c r="S3605" s="1"/>
      <c r="AD3605" s="1"/>
      <c r="AE3605" s="1"/>
    </row>
    <row r="3606" spans="18:31" ht="75" customHeight="1">
      <c r="R3606" s="1"/>
      <c r="S3606" s="1"/>
      <c r="AD3606" s="1"/>
      <c r="AE3606" s="1"/>
    </row>
    <row r="3607" spans="18:31" ht="75" customHeight="1">
      <c r="R3607" s="1"/>
      <c r="S3607" s="1"/>
      <c r="AD3607" s="1"/>
      <c r="AE3607" s="1"/>
    </row>
    <row r="3608" spans="18:31" ht="75" customHeight="1">
      <c r="R3608" s="1"/>
      <c r="S3608" s="1"/>
      <c r="AD3608" s="1"/>
      <c r="AE3608" s="1"/>
    </row>
    <row r="3609" spans="18:31" ht="75" customHeight="1">
      <c r="R3609" s="1"/>
      <c r="S3609" s="1"/>
      <c r="AD3609" s="1"/>
      <c r="AE3609" s="1"/>
    </row>
    <row r="3610" spans="18:31" ht="75" customHeight="1">
      <c r="R3610" s="1"/>
      <c r="S3610" s="1"/>
      <c r="AD3610" s="1"/>
      <c r="AE3610" s="1"/>
    </row>
    <row r="3611" spans="18:31" ht="75" customHeight="1">
      <c r="R3611" s="1"/>
      <c r="S3611" s="1"/>
      <c r="AD3611" s="1"/>
      <c r="AE3611" s="1"/>
    </row>
    <row r="3612" spans="18:31" ht="75" customHeight="1">
      <c r="R3612" s="1"/>
      <c r="S3612" s="1"/>
      <c r="AD3612" s="1"/>
      <c r="AE3612" s="1"/>
    </row>
    <row r="3613" spans="18:31" ht="75" customHeight="1">
      <c r="R3613" s="1"/>
      <c r="S3613" s="1"/>
      <c r="AD3613" s="1"/>
      <c r="AE3613" s="1"/>
    </row>
    <row r="3614" spans="18:31" ht="75" customHeight="1">
      <c r="R3614" s="1"/>
      <c r="S3614" s="1"/>
      <c r="AD3614" s="1"/>
      <c r="AE3614" s="1"/>
    </row>
    <row r="3615" spans="18:31" ht="75" customHeight="1">
      <c r="R3615" s="1"/>
      <c r="S3615" s="1"/>
      <c r="AD3615" s="1"/>
      <c r="AE3615" s="1"/>
    </row>
    <row r="3616" spans="18:31" ht="75" customHeight="1">
      <c r="R3616" s="1"/>
      <c r="S3616" s="1"/>
      <c r="AD3616" s="1"/>
      <c r="AE3616" s="1"/>
    </row>
    <row r="3617" spans="18:31" ht="75" customHeight="1">
      <c r="R3617" s="1"/>
      <c r="S3617" s="1"/>
      <c r="AD3617" s="1"/>
      <c r="AE3617" s="1"/>
    </row>
    <row r="3618" spans="18:31" ht="75" customHeight="1">
      <c r="R3618" s="1"/>
      <c r="S3618" s="1"/>
      <c r="AD3618" s="1"/>
      <c r="AE3618" s="1"/>
    </row>
    <row r="3619" spans="18:31" ht="75" customHeight="1">
      <c r="R3619" s="1"/>
      <c r="S3619" s="1"/>
      <c r="AD3619" s="1"/>
      <c r="AE3619" s="1"/>
    </row>
    <row r="3620" spans="18:31" ht="75" customHeight="1">
      <c r="R3620" s="1"/>
      <c r="S3620" s="1"/>
      <c r="AD3620" s="1"/>
      <c r="AE3620" s="1"/>
    </row>
    <row r="3621" spans="18:31" ht="75" customHeight="1">
      <c r="R3621" s="1"/>
      <c r="S3621" s="1"/>
      <c r="AD3621" s="1"/>
      <c r="AE3621" s="1"/>
    </row>
    <row r="3622" spans="18:31" ht="75" customHeight="1">
      <c r="R3622" s="1"/>
      <c r="S3622" s="1"/>
      <c r="AD3622" s="1"/>
      <c r="AE3622" s="1"/>
    </row>
    <row r="3623" spans="18:31" ht="75" customHeight="1">
      <c r="R3623" s="1"/>
      <c r="S3623" s="1"/>
      <c r="AD3623" s="1"/>
      <c r="AE3623" s="1"/>
    </row>
    <row r="3624" spans="18:31" ht="75" customHeight="1">
      <c r="R3624" s="1"/>
      <c r="S3624" s="1"/>
      <c r="AD3624" s="1"/>
      <c r="AE3624" s="1"/>
    </row>
    <row r="3625" spans="18:31" ht="75" customHeight="1">
      <c r="R3625" s="1"/>
      <c r="S3625" s="1"/>
      <c r="AD3625" s="1"/>
      <c r="AE3625" s="1"/>
    </row>
    <row r="3626" spans="18:31" ht="75" customHeight="1">
      <c r="R3626" s="1"/>
      <c r="S3626" s="1"/>
      <c r="AD3626" s="1"/>
      <c r="AE3626" s="1"/>
    </row>
    <row r="3627" spans="18:31" ht="75" customHeight="1">
      <c r="R3627" s="1"/>
      <c r="S3627" s="1"/>
      <c r="AD3627" s="1"/>
      <c r="AE3627" s="1"/>
    </row>
    <row r="3628" spans="18:31" ht="75" customHeight="1">
      <c r="R3628" s="1"/>
      <c r="S3628" s="1"/>
      <c r="AD3628" s="1"/>
      <c r="AE3628" s="1"/>
    </row>
    <row r="3629" spans="18:31" ht="75" customHeight="1">
      <c r="R3629" s="1"/>
      <c r="S3629" s="1"/>
      <c r="AD3629" s="1"/>
      <c r="AE3629" s="1"/>
    </row>
    <row r="3630" spans="18:31" ht="75" customHeight="1">
      <c r="R3630" s="1"/>
      <c r="S3630" s="1"/>
      <c r="AD3630" s="1"/>
      <c r="AE3630" s="1"/>
    </row>
    <row r="3631" spans="18:31" ht="75" customHeight="1">
      <c r="R3631" s="1"/>
      <c r="S3631" s="1"/>
      <c r="AD3631" s="1"/>
      <c r="AE3631" s="1"/>
    </row>
    <row r="3632" spans="18:31" ht="75" customHeight="1">
      <c r="R3632" s="1"/>
      <c r="S3632" s="1"/>
      <c r="AD3632" s="1"/>
      <c r="AE3632" s="1"/>
    </row>
    <row r="3633" spans="18:31" ht="75" customHeight="1">
      <c r="R3633" s="1"/>
      <c r="S3633" s="1"/>
      <c r="AD3633" s="1"/>
      <c r="AE3633" s="1"/>
    </row>
    <row r="3634" spans="18:31" ht="75" customHeight="1">
      <c r="R3634" s="1"/>
      <c r="S3634" s="1"/>
      <c r="AD3634" s="1"/>
      <c r="AE3634" s="1"/>
    </row>
    <row r="3635" spans="18:31" ht="75" customHeight="1">
      <c r="R3635" s="1"/>
      <c r="S3635" s="1"/>
      <c r="AD3635" s="1"/>
      <c r="AE3635" s="1"/>
    </row>
    <row r="3636" spans="18:31" ht="75" customHeight="1">
      <c r="R3636" s="1"/>
      <c r="S3636" s="1"/>
      <c r="AD3636" s="1"/>
      <c r="AE3636" s="1"/>
    </row>
    <row r="3637" spans="18:31" ht="75" customHeight="1">
      <c r="R3637" s="1"/>
      <c r="S3637" s="1"/>
      <c r="AD3637" s="1"/>
      <c r="AE3637" s="1"/>
    </row>
    <row r="3638" spans="18:31" ht="75" customHeight="1">
      <c r="R3638" s="1"/>
      <c r="S3638" s="1"/>
      <c r="AD3638" s="1"/>
      <c r="AE3638" s="1"/>
    </row>
    <row r="3639" spans="18:31" ht="75" customHeight="1">
      <c r="R3639" s="1"/>
      <c r="S3639" s="1"/>
      <c r="AD3639" s="1"/>
      <c r="AE3639" s="1"/>
    </row>
    <row r="3640" spans="18:31" ht="75" customHeight="1">
      <c r="R3640" s="1"/>
      <c r="S3640" s="1"/>
      <c r="AD3640" s="1"/>
      <c r="AE3640" s="1"/>
    </row>
    <row r="3641" spans="18:31" ht="75" customHeight="1">
      <c r="R3641" s="1"/>
      <c r="S3641" s="1"/>
      <c r="AD3641" s="1"/>
      <c r="AE3641" s="1"/>
    </row>
    <row r="3642" spans="18:31" ht="75" customHeight="1">
      <c r="R3642" s="1"/>
      <c r="S3642" s="1"/>
      <c r="AD3642" s="1"/>
      <c r="AE3642" s="1"/>
    </row>
    <row r="3643" spans="18:31" ht="75" customHeight="1">
      <c r="R3643" s="1"/>
      <c r="S3643" s="1"/>
      <c r="AD3643" s="1"/>
      <c r="AE3643" s="1"/>
    </row>
    <row r="3644" spans="18:31" ht="75" customHeight="1">
      <c r="R3644" s="1"/>
      <c r="S3644" s="1"/>
      <c r="AD3644" s="1"/>
      <c r="AE3644" s="1"/>
    </row>
    <row r="3645" spans="18:31" ht="75" customHeight="1">
      <c r="R3645" s="1"/>
      <c r="S3645" s="1"/>
      <c r="AD3645" s="1"/>
      <c r="AE3645" s="1"/>
    </row>
    <row r="3646" spans="18:31" ht="75" customHeight="1">
      <c r="R3646" s="1"/>
      <c r="S3646" s="1"/>
      <c r="AD3646" s="1"/>
      <c r="AE3646" s="1"/>
    </row>
    <row r="3647" spans="18:31" ht="75" customHeight="1">
      <c r="R3647" s="1"/>
      <c r="S3647" s="1"/>
      <c r="AD3647" s="1"/>
      <c r="AE3647" s="1"/>
    </row>
    <row r="3648" spans="18:31" ht="75" customHeight="1">
      <c r="R3648" s="1"/>
      <c r="S3648" s="1"/>
      <c r="AD3648" s="1"/>
      <c r="AE3648" s="1"/>
    </row>
    <row r="3649" spans="18:31" ht="75" customHeight="1">
      <c r="R3649" s="1"/>
      <c r="S3649" s="1"/>
      <c r="AD3649" s="1"/>
      <c r="AE3649" s="1"/>
    </row>
    <row r="3650" spans="18:31" ht="75" customHeight="1">
      <c r="R3650" s="1"/>
      <c r="S3650" s="1"/>
      <c r="AD3650" s="1"/>
      <c r="AE3650" s="1"/>
    </row>
    <row r="3651" spans="18:31" ht="75" customHeight="1">
      <c r="R3651" s="1"/>
      <c r="S3651" s="1"/>
      <c r="AD3651" s="1"/>
      <c r="AE3651" s="1"/>
    </row>
    <row r="3652" spans="18:31" ht="75" customHeight="1">
      <c r="R3652" s="1"/>
      <c r="S3652" s="1"/>
      <c r="AD3652" s="1"/>
      <c r="AE3652" s="1"/>
    </row>
    <row r="3653" spans="18:31" ht="75" customHeight="1">
      <c r="R3653" s="1"/>
      <c r="S3653" s="1"/>
      <c r="AD3653" s="1"/>
      <c r="AE3653" s="1"/>
    </row>
    <row r="3654" spans="18:31" ht="75" customHeight="1">
      <c r="R3654" s="1"/>
      <c r="S3654" s="1"/>
      <c r="AD3654" s="1"/>
      <c r="AE3654" s="1"/>
    </row>
    <row r="3655" spans="18:31" ht="75" customHeight="1">
      <c r="R3655" s="1"/>
      <c r="S3655" s="1"/>
      <c r="AD3655" s="1"/>
      <c r="AE3655" s="1"/>
    </row>
    <row r="3656" spans="18:31" ht="75" customHeight="1">
      <c r="R3656" s="1"/>
      <c r="S3656" s="1"/>
      <c r="AD3656" s="1"/>
      <c r="AE3656" s="1"/>
    </row>
    <row r="3657" spans="18:31" ht="75" customHeight="1">
      <c r="R3657" s="1"/>
      <c r="S3657" s="1"/>
      <c r="AD3657" s="1"/>
      <c r="AE3657" s="1"/>
    </row>
    <row r="3658" spans="18:31" ht="75" customHeight="1">
      <c r="R3658" s="1"/>
      <c r="S3658" s="1"/>
      <c r="AD3658" s="1"/>
      <c r="AE3658" s="1"/>
    </row>
    <row r="3659" spans="18:31" ht="75" customHeight="1">
      <c r="R3659" s="1"/>
      <c r="S3659" s="1"/>
      <c r="AD3659" s="1"/>
      <c r="AE3659" s="1"/>
    </row>
    <row r="3660" spans="18:31" ht="75" customHeight="1">
      <c r="R3660" s="1"/>
      <c r="S3660" s="1"/>
      <c r="AD3660" s="1"/>
      <c r="AE3660" s="1"/>
    </row>
    <row r="3661" spans="18:31" ht="75" customHeight="1">
      <c r="R3661" s="1"/>
      <c r="S3661" s="1"/>
      <c r="AD3661" s="1"/>
      <c r="AE3661" s="1"/>
    </row>
    <row r="3662" spans="18:31" ht="75" customHeight="1">
      <c r="R3662" s="1"/>
      <c r="S3662" s="1"/>
      <c r="AD3662" s="1"/>
      <c r="AE3662" s="1"/>
    </row>
    <row r="3663" spans="18:31" ht="75" customHeight="1">
      <c r="R3663" s="1"/>
      <c r="S3663" s="1"/>
      <c r="AD3663" s="1"/>
      <c r="AE3663" s="1"/>
    </row>
    <row r="3664" spans="18:31" ht="75" customHeight="1">
      <c r="R3664" s="1"/>
      <c r="S3664" s="1"/>
      <c r="AD3664" s="1"/>
      <c r="AE3664" s="1"/>
    </row>
    <row r="3665" spans="18:31" ht="75" customHeight="1">
      <c r="R3665" s="1"/>
      <c r="S3665" s="1"/>
      <c r="AD3665" s="1"/>
      <c r="AE3665" s="1"/>
    </row>
    <row r="3666" spans="18:31" ht="75" customHeight="1">
      <c r="R3666" s="1"/>
      <c r="S3666" s="1"/>
      <c r="AD3666" s="1"/>
      <c r="AE3666" s="1"/>
    </row>
    <row r="3667" spans="18:31" ht="75" customHeight="1">
      <c r="R3667" s="1"/>
      <c r="S3667" s="1"/>
      <c r="AD3667" s="1"/>
      <c r="AE3667" s="1"/>
    </row>
    <row r="3668" spans="18:31" ht="75" customHeight="1">
      <c r="R3668" s="1"/>
      <c r="S3668" s="1"/>
      <c r="AD3668" s="1"/>
      <c r="AE3668" s="1"/>
    </row>
    <row r="3669" spans="18:31" ht="75" customHeight="1">
      <c r="R3669" s="1"/>
      <c r="S3669" s="1"/>
      <c r="AD3669" s="1"/>
      <c r="AE3669" s="1"/>
    </row>
    <row r="3670" spans="18:31" ht="75" customHeight="1">
      <c r="R3670" s="1"/>
      <c r="S3670" s="1"/>
      <c r="AD3670" s="1"/>
      <c r="AE3670" s="1"/>
    </row>
    <row r="3671" spans="18:31" ht="75" customHeight="1">
      <c r="R3671" s="1"/>
      <c r="S3671" s="1"/>
      <c r="AD3671" s="1"/>
      <c r="AE3671" s="1"/>
    </row>
    <row r="3672" spans="18:31" ht="75" customHeight="1">
      <c r="R3672" s="1"/>
      <c r="S3672" s="1"/>
      <c r="AD3672" s="1"/>
      <c r="AE3672" s="1"/>
    </row>
    <row r="3673" spans="18:31" ht="75" customHeight="1">
      <c r="R3673" s="1"/>
      <c r="S3673" s="1"/>
      <c r="AD3673" s="1"/>
      <c r="AE3673" s="1"/>
    </row>
    <row r="3674" spans="18:31" ht="75" customHeight="1">
      <c r="R3674" s="1"/>
      <c r="S3674" s="1"/>
      <c r="AD3674" s="1"/>
      <c r="AE3674" s="1"/>
    </row>
    <row r="3675" spans="18:31" ht="75" customHeight="1">
      <c r="R3675" s="1"/>
      <c r="S3675" s="1"/>
      <c r="AD3675" s="1"/>
      <c r="AE3675" s="1"/>
    </row>
    <row r="3676" spans="18:31" ht="75" customHeight="1">
      <c r="R3676" s="1"/>
      <c r="S3676" s="1"/>
      <c r="AD3676" s="1"/>
      <c r="AE3676" s="1"/>
    </row>
    <row r="3677" spans="18:31" ht="75" customHeight="1">
      <c r="R3677" s="1"/>
      <c r="S3677" s="1"/>
      <c r="AD3677" s="1"/>
      <c r="AE3677" s="1"/>
    </row>
    <row r="3678" spans="18:31" ht="75" customHeight="1">
      <c r="R3678" s="1"/>
      <c r="S3678" s="1"/>
      <c r="AD3678" s="1"/>
      <c r="AE3678" s="1"/>
    </row>
    <row r="3679" spans="18:31" ht="75" customHeight="1">
      <c r="R3679" s="1"/>
      <c r="S3679" s="1"/>
      <c r="AD3679" s="1"/>
      <c r="AE3679" s="1"/>
    </row>
    <row r="3680" spans="18:31" ht="75" customHeight="1">
      <c r="R3680" s="1"/>
      <c r="S3680" s="1"/>
      <c r="AD3680" s="1"/>
      <c r="AE3680" s="1"/>
    </row>
    <row r="3681" spans="18:31" ht="75" customHeight="1">
      <c r="R3681" s="1"/>
      <c r="S3681" s="1"/>
      <c r="AD3681" s="1"/>
      <c r="AE3681" s="1"/>
    </row>
    <row r="3682" spans="18:31" ht="75" customHeight="1">
      <c r="R3682" s="1"/>
      <c r="S3682" s="1"/>
      <c r="AD3682" s="1"/>
      <c r="AE3682" s="1"/>
    </row>
    <row r="3683" spans="18:31" ht="75" customHeight="1">
      <c r="R3683" s="1"/>
      <c r="S3683" s="1"/>
      <c r="AD3683" s="1"/>
      <c r="AE3683" s="1"/>
    </row>
    <row r="3684" spans="18:31" ht="75" customHeight="1">
      <c r="R3684" s="1"/>
      <c r="S3684" s="1"/>
      <c r="AD3684" s="1"/>
      <c r="AE3684" s="1"/>
    </row>
    <row r="3685" spans="18:31" ht="75" customHeight="1">
      <c r="R3685" s="1"/>
      <c r="S3685" s="1"/>
      <c r="AD3685" s="1"/>
      <c r="AE3685" s="1"/>
    </row>
    <row r="3686" spans="18:31" ht="75" customHeight="1">
      <c r="R3686" s="1"/>
      <c r="S3686" s="1"/>
      <c r="AD3686" s="1"/>
      <c r="AE3686" s="1"/>
    </row>
    <row r="3687" spans="18:31" ht="75" customHeight="1">
      <c r="R3687" s="1"/>
      <c r="S3687" s="1"/>
      <c r="AD3687" s="1"/>
      <c r="AE3687" s="1"/>
    </row>
    <row r="3688" spans="18:31" ht="75" customHeight="1">
      <c r="R3688" s="1"/>
      <c r="S3688" s="1"/>
      <c r="AD3688" s="1"/>
      <c r="AE3688" s="1"/>
    </row>
    <row r="3689" spans="18:31" ht="75" customHeight="1">
      <c r="R3689" s="1"/>
      <c r="S3689" s="1"/>
      <c r="AD3689" s="1"/>
      <c r="AE3689" s="1"/>
    </row>
    <row r="3690" spans="18:31" ht="75" customHeight="1">
      <c r="R3690" s="1"/>
      <c r="S3690" s="1"/>
      <c r="AD3690" s="1"/>
      <c r="AE3690" s="1"/>
    </row>
    <row r="3691" spans="18:31" ht="75" customHeight="1">
      <c r="R3691" s="1"/>
      <c r="S3691" s="1"/>
      <c r="AD3691" s="1"/>
      <c r="AE3691" s="1"/>
    </row>
    <row r="3692" spans="18:31" ht="75" customHeight="1">
      <c r="R3692" s="1"/>
      <c r="S3692" s="1"/>
      <c r="AD3692" s="1"/>
      <c r="AE3692" s="1"/>
    </row>
    <row r="3693" spans="18:31" ht="75" customHeight="1">
      <c r="R3693" s="1"/>
      <c r="S3693" s="1"/>
      <c r="AD3693" s="1"/>
      <c r="AE3693" s="1"/>
    </row>
    <row r="3694" spans="18:31" ht="75" customHeight="1">
      <c r="R3694" s="1"/>
      <c r="S3694" s="1"/>
      <c r="AD3694" s="1"/>
      <c r="AE3694" s="1"/>
    </row>
    <row r="3695" spans="18:31" ht="75" customHeight="1">
      <c r="R3695" s="1"/>
      <c r="S3695" s="1"/>
      <c r="AD3695" s="1"/>
      <c r="AE3695" s="1"/>
    </row>
    <row r="3696" spans="18:31" ht="75" customHeight="1">
      <c r="R3696" s="1"/>
      <c r="S3696" s="1"/>
      <c r="AD3696" s="1"/>
      <c r="AE3696" s="1"/>
    </row>
    <row r="3697" spans="18:31" ht="75" customHeight="1">
      <c r="R3697" s="1"/>
      <c r="S3697" s="1"/>
      <c r="AD3697" s="1"/>
      <c r="AE3697" s="1"/>
    </row>
    <row r="3698" spans="18:31" ht="75" customHeight="1">
      <c r="R3698" s="1"/>
      <c r="S3698" s="1"/>
      <c r="AD3698" s="1"/>
      <c r="AE3698" s="1"/>
    </row>
    <row r="3699" spans="18:31" ht="75" customHeight="1">
      <c r="R3699" s="1"/>
      <c r="S3699" s="1"/>
      <c r="AD3699" s="1"/>
      <c r="AE3699" s="1"/>
    </row>
    <row r="3700" spans="18:31" ht="75" customHeight="1">
      <c r="R3700" s="1"/>
      <c r="S3700" s="1"/>
      <c r="AD3700" s="1"/>
      <c r="AE3700" s="1"/>
    </row>
    <row r="3701" spans="18:31" ht="75" customHeight="1">
      <c r="R3701" s="1"/>
      <c r="S3701" s="1"/>
      <c r="AD3701" s="1"/>
      <c r="AE3701" s="1"/>
    </row>
    <row r="3702" spans="18:31" ht="75" customHeight="1">
      <c r="R3702" s="1"/>
      <c r="S3702" s="1"/>
      <c r="AD3702" s="1"/>
      <c r="AE3702" s="1"/>
    </row>
    <row r="3703" spans="18:31" ht="75" customHeight="1">
      <c r="R3703" s="1"/>
      <c r="S3703" s="1"/>
      <c r="AD3703" s="1"/>
      <c r="AE3703" s="1"/>
    </row>
    <row r="3704" spans="18:31" ht="75" customHeight="1">
      <c r="R3704" s="1"/>
      <c r="S3704" s="1"/>
      <c r="AD3704" s="1"/>
      <c r="AE3704" s="1"/>
    </row>
    <row r="3705" spans="18:31" ht="75" customHeight="1">
      <c r="R3705" s="1"/>
      <c r="S3705" s="1"/>
      <c r="AD3705" s="1"/>
      <c r="AE3705" s="1"/>
    </row>
    <row r="3706" spans="18:31" ht="75" customHeight="1">
      <c r="R3706" s="1"/>
      <c r="S3706" s="1"/>
      <c r="AD3706" s="1"/>
      <c r="AE3706" s="1"/>
    </row>
    <row r="3707" spans="18:31" ht="75" customHeight="1">
      <c r="R3707" s="1"/>
      <c r="S3707" s="1"/>
      <c r="AD3707" s="1"/>
      <c r="AE3707" s="1"/>
    </row>
    <row r="3708" spans="18:31" ht="75" customHeight="1">
      <c r="R3708" s="1"/>
      <c r="S3708" s="1"/>
      <c r="AD3708" s="1"/>
      <c r="AE3708" s="1"/>
    </row>
    <row r="3709" spans="18:31" ht="75" customHeight="1">
      <c r="R3709" s="1"/>
      <c r="S3709" s="1"/>
      <c r="AD3709" s="1"/>
      <c r="AE3709" s="1"/>
    </row>
    <row r="3710" spans="18:31" ht="75" customHeight="1">
      <c r="R3710" s="1"/>
      <c r="S3710" s="1"/>
      <c r="AD3710" s="1"/>
      <c r="AE3710" s="1"/>
    </row>
    <row r="3711" spans="18:31" ht="75" customHeight="1">
      <c r="R3711" s="1"/>
      <c r="S3711" s="1"/>
      <c r="AD3711" s="1"/>
      <c r="AE3711" s="1"/>
    </row>
    <row r="3712" spans="18:31" ht="75" customHeight="1">
      <c r="R3712" s="1"/>
      <c r="S3712" s="1"/>
      <c r="AD3712" s="1"/>
      <c r="AE3712" s="1"/>
    </row>
    <row r="3713" spans="18:31" ht="75" customHeight="1">
      <c r="R3713" s="1"/>
      <c r="S3713" s="1"/>
      <c r="AD3713" s="1"/>
      <c r="AE3713" s="1"/>
    </row>
    <row r="3714" spans="18:31" ht="75" customHeight="1">
      <c r="R3714" s="1"/>
      <c r="S3714" s="1"/>
      <c r="AD3714" s="1"/>
      <c r="AE3714" s="1"/>
    </row>
    <row r="3715" spans="18:31" ht="75" customHeight="1">
      <c r="R3715" s="1"/>
      <c r="S3715" s="1"/>
      <c r="AD3715" s="1"/>
      <c r="AE3715" s="1"/>
    </row>
    <row r="3716" spans="18:31" ht="75" customHeight="1">
      <c r="R3716" s="1"/>
      <c r="S3716" s="1"/>
      <c r="AD3716" s="1"/>
      <c r="AE3716" s="1"/>
    </row>
    <row r="3717" spans="18:31" ht="75" customHeight="1">
      <c r="R3717" s="1"/>
      <c r="S3717" s="1"/>
      <c r="AD3717" s="1"/>
      <c r="AE3717" s="1"/>
    </row>
    <row r="3718" spans="18:31" ht="75" customHeight="1">
      <c r="R3718" s="1"/>
      <c r="S3718" s="1"/>
      <c r="AD3718" s="1"/>
      <c r="AE3718" s="1"/>
    </row>
    <row r="3719" spans="18:31" ht="75" customHeight="1">
      <c r="R3719" s="1"/>
      <c r="S3719" s="1"/>
      <c r="AD3719" s="1"/>
      <c r="AE3719" s="1"/>
    </row>
    <row r="3720" spans="18:31" ht="75" customHeight="1">
      <c r="R3720" s="1"/>
      <c r="S3720" s="1"/>
      <c r="AD3720" s="1"/>
      <c r="AE3720" s="1"/>
    </row>
    <row r="3721" spans="18:31" ht="75" customHeight="1">
      <c r="R3721" s="1"/>
      <c r="S3721" s="1"/>
      <c r="AD3721" s="1"/>
      <c r="AE3721" s="1"/>
    </row>
    <row r="3722" spans="18:31" ht="75" customHeight="1">
      <c r="R3722" s="1"/>
      <c r="S3722" s="1"/>
      <c r="AD3722" s="1"/>
      <c r="AE3722" s="1"/>
    </row>
    <row r="3723" spans="18:31" ht="75" customHeight="1">
      <c r="R3723" s="1"/>
      <c r="S3723" s="1"/>
      <c r="AD3723" s="1"/>
      <c r="AE3723" s="1"/>
    </row>
    <row r="3724" spans="18:31" ht="75" customHeight="1">
      <c r="R3724" s="1"/>
      <c r="S3724" s="1"/>
      <c r="AD3724" s="1"/>
      <c r="AE3724" s="1"/>
    </row>
    <row r="3725" spans="18:31" ht="75" customHeight="1">
      <c r="R3725" s="1"/>
      <c r="S3725" s="1"/>
      <c r="AD3725" s="1"/>
      <c r="AE3725" s="1"/>
    </row>
    <row r="3726" spans="18:31" ht="75" customHeight="1">
      <c r="R3726" s="1"/>
      <c r="S3726" s="1"/>
      <c r="AD3726" s="1"/>
      <c r="AE3726" s="1"/>
    </row>
    <row r="3727" spans="18:31" ht="75" customHeight="1">
      <c r="R3727" s="1"/>
      <c r="S3727" s="1"/>
      <c r="AD3727" s="1"/>
      <c r="AE3727" s="1"/>
    </row>
    <row r="3728" spans="18:31" ht="75" customHeight="1">
      <c r="R3728" s="1"/>
      <c r="S3728" s="1"/>
      <c r="AD3728" s="1"/>
      <c r="AE3728" s="1"/>
    </row>
    <row r="3729" spans="18:31" ht="75" customHeight="1">
      <c r="R3729" s="1"/>
      <c r="S3729" s="1"/>
      <c r="AD3729" s="1"/>
      <c r="AE3729" s="1"/>
    </row>
    <row r="3730" spans="18:31" ht="75" customHeight="1">
      <c r="R3730" s="1"/>
      <c r="S3730" s="1"/>
      <c r="AD3730" s="1"/>
      <c r="AE3730" s="1"/>
    </row>
    <row r="3731" spans="18:31" ht="75" customHeight="1">
      <c r="R3731" s="1"/>
      <c r="S3731" s="1"/>
      <c r="AD3731" s="1"/>
      <c r="AE3731" s="1"/>
    </row>
    <row r="3732" spans="18:31" ht="75" customHeight="1">
      <c r="R3732" s="1"/>
      <c r="S3732" s="1"/>
      <c r="AD3732" s="1"/>
      <c r="AE3732" s="1"/>
    </row>
    <row r="3733" spans="18:31" ht="75" customHeight="1">
      <c r="R3733" s="1"/>
      <c r="S3733" s="1"/>
      <c r="AD3733" s="1"/>
      <c r="AE3733" s="1"/>
    </row>
    <row r="3734" spans="18:31" ht="75" customHeight="1">
      <c r="R3734" s="1"/>
      <c r="S3734" s="1"/>
      <c r="AD3734" s="1"/>
      <c r="AE3734" s="1"/>
    </row>
    <row r="3735" spans="18:31" ht="75" customHeight="1">
      <c r="R3735" s="1"/>
      <c r="S3735" s="1"/>
      <c r="AD3735" s="1"/>
      <c r="AE3735" s="1"/>
    </row>
    <row r="3736" spans="18:31" ht="75" customHeight="1">
      <c r="R3736" s="1"/>
      <c r="S3736" s="1"/>
      <c r="AD3736" s="1"/>
      <c r="AE3736" s="1"/>
    </row>
    <row r="3737" spans="18:31" ht="75" customHeight="1">
      <c r="R3737" s="1"/>
      <c r="S3737" s="1"/>
      <c r="AD3737" s="1"/>
      <c r="AE3737" s="1"/>
    </row>
    <row r="3738" spans="18:31" ht="75" customHeight="1">
      <c r="R3738" s="1"/>
      <c r="S3738" s="1"/>
      <c r="AD3738" s="1"/>
      <c r="AE3738" s="1"/>
    </row>
    <row r="3739" spans="18:31" ht="75" customHeight="1">
      <c r="R3739" s="1"/>
      <c r="S3739" s="1"/>
      <c r="AD3739" s="1"/>
      <c r="AE3739" s="1"/>
    </row>
    <row r="3740" spans="18:31" ht="75" customHeight="1">
      <c r="R3740" s="1"/>
      <c r="S3740" s="1"/>
      <c r="AD3740" s="1"/>
      <c r="AE3740" s="1"/>
    </row>
    <row r="3741" spans="18:31" ht="75" customHeight="1">
      <c r="R3741" s="1"/>
      <c r="S3741" s="1"/>
      <c r="AD3741" s="1"/>
      <c r="AE3741" s="1"/>
    </row>
    <row r="3742" spans="18:31" ht="75" customHeight="1">
      <c r="R3742" s="1"/>
      <c r="S3742" s="1"/>
      <c r="AD3742" s="1"/>
      <c r="AE3742" s="1"/>
    </row>
    <row r="3743" spans="18:31" ht="75" customHeight="1">
      <c r="R3743" s="1"/>
      <c r="S3743" s="1"/>
      <c r="AD3743" s="1"/>
      <c r="AE3743" s="1"/>
    </row>
    <row r="3744" spans="18:31" ht="75" customHeight="1">
      <c r="R3744" s="1"/>
      <c r="S3744" s="1"/>
      <c r="AD3744" s="1"/>
      <c r="AE3744" s="1"/>
    </row>
    <row r="3745" spans="18:31" ht="75" customHeight="1">
      <c r="R3745" s="1"/>
      <c r="S3745" s="1"/>
      <c r="AD3745" s="1"/>
      <c r="AE3745" s="1"/>
    </row>
    <row r="3746" spans="18:31" ht="75" customHeight="1">
      <c r="R3746" s="1"/>
      <c r="S3746" s="1"/>
      <c r="AD3746" s="1"/>
      <c r="AE3746" s="1"/>
    </row>
    <row r="3747" spans="18:31" ht="75" customHeight="1">
      <c r="R3747" s="1"/>
      <c r="S3747" s="1"/>
      <c r="AD3747" s="1"/>
      <c r="AE3747" s="1"/>
    </row>
    <row r="3748" spans="18:31" ht="75" customHeight="1">
      <c r="R3748" s="1"/>
      <c r="S3748" s="1"/>
      <c r="AD3748" s="1"/>
      <c r="AE3748" s="1"/>
    </row>
    <row r="3749" spans="18:31" ht="75" customHeight="1">
      <c r="R3749" s="1"/>
      <c r="S3749" s="1"/>
      <c r="AD3749" s="1"/>
      <c r="AE3749" s="1"/>
    </row>
    <row r="3750" spans="18:31" ht="75" customHeight="1">
      <c r="R3750" s="1"/>
      <c r="S3750" s="1"/>
      <c r="AD3750" s="1"/>
      <c r="AE3750" s="1"/>
    </row>
    <row r="3751" spans="18:31" ht="75" customHeight="1">
      <c r="R3751" s="1"/>
      <c r="S3751" s="1"/>
      <c r="AD3751" s="1"/>
      <c r="AE3751" s="1"/>
    </row>
    <row r="3752" spans="18:31" ht="75" customHeight="1">
      <c r="R3752" s="1"/>
      <c r="S3752" s="1"/>
      <c r="AD3752" s="1"/>
      <c r="AE3752" s="1"/>
    </row>
    <row r="3753" spans="18:31" ht="75" customHeight="1">
      <c r="R3753" s="1"/>
      <c r="S3753" s="1"/>
      <c r="AD3753" s="1"/>
      <c r="AE3753" s="1"/>
    </row>
    <row r="3754" spans="18:31" ht="75" customHeight="1">
      <c r="R3754" s="1"/>
      <c r="S3754" s="1"/>
      <c r="AD3754" s="1"/>
      <c r="AE3754" s="1"/>
    </row>
    <row r="3755" spans="18:31" ht="75" customHeight="1">
      <c r="R3755" s="1"/>
      <c r="S3755" s="1"/>
      <c r="AD3755" s="1"/>
      <c r="AE3755" s="1"/>
    </row>
    <row r="3756" spans="18:31" ht="75" customHeight="1">
      <c r="R3756" s="1"/>
      <c r="S3756" s="1"/>
      <c r="AD3756" s="1"/>
      <c r="AE3756" s="1"/>
    </row>
    <row r="3757" spans="18:31" ht="75" customHeight="1">
      <c r="R3757" s="1"/>
      <c r="S3757" s="1"/>
      <c r="AD3757" s="1"/>
      <c r="AE3757" s="1"/>
    </row>
    <row r="3758" spans="18:31" ht="75" customHeight="1">
      <c r="R3758" s="1"/>
      <c r="S3758" s="1"/>
      <c r="AD3758" s="1"/>
      <c r="AE3758" s="1"/>
    </row>
    <row r="3759" spans="18:31" ht="75" customHeight="1">
      <c r="R3759" s="1"/>
      <c r="S3759" s="1"/>
      <c r="AD3759" s="1"/>
      <c r="AE3759" s="1"/>
    </row>
    <row r="3760" spans="18:31" ht="75" customHeight="1">
      <c r="R3760" s="1"/>
      <c r="S3760" s="1"/>
      <c r="AD3760" s="1"/>
      <c r="AE3760" s="1"/>
    </row>
    <row r="3761" spans="18:31" ht="75" customHeight="1">
      <c r="R3761" s="1"/>
      <c r="S3761" s="1"/>
      <c r="AD3761" s="1"/>
      <c r="AE3761" s="1"/>
    </row>
    <row r="3762" spans="18:31" ht="75" customHeight="1">
      <c r="R3762" s="1"/>
      <c r="S3762" s="1"/>
      <c r="AD3762" s="1"/>
      <c r="AE3762" s="1"/>
    </row>
    <row r="3763" spans="18:31" ht="75" customHeight="1">
      <c r="R3763" s="1"/>
      <c r="S3763" s="1"/>
      <c r="AD3763" s="1"/>
      <c r="AE3763" s="1"/>
    </row>
    <row r="3764" spans="18:31" ht="75" customHeight="1">
      <c r="R3764" s="1"/>
      <c r="S3764" s="1"/>
      <c r="AD3764" s="1"/>
      <c r="AE3764" s="1"/>
    </row>
    <row r="3765" spans="18:31" ht="75" customHeight="1">
      <c r="R3765" s="1"/>
      <c r="S3765" s="1"/>
      <c r="AD3765" s="1"/>
      <c r="AE3765" s="1"/>
    </row>
    <row r="3766" spans="18:31" ht="75" customHeight="1">
      <c r="R3766" s="1"/>
      <c r="S3766" s="1"/>
      <c r="AD3766" s="1"/>
      <c r="AE3766" s="1"/>
    </row>
    <row r="3767" spans="18:31" ht="75" customHeight="1">
      <c r="R3767" s="1"/>
      <c r="S3767" s="1"/>
      <c r="AD3767" s="1"/>
      <c r="AE3767" s="1"/>
    </row>
    <row r="3768" spans="18:31" ht="75" customHeight="1">
      <c r="R3768" s="1"/>
      <c r="S3768" s="1"/>
      <c r="AD3768" s="1"/>
      <c r="AE3768" s="1"/>
    </row>
    <row r="3769" spans="18:31" ht="75" customHeight="1">
      <c r="R3769" s="1"/>
      <c r="S3769" s="1"/>
      <c r="AD3769" s="1"/>
      <c r="AE3769" s="1"/>
    </row>
    <row r="3770" spans="18:31" ht="75" customHeight="1">
      <c r="R3770" s="1"/>
      <c r="S3770" s="1"/>
      <c r="AD3770" s="1"/>
      <c r="AE3770" s="1"/>
    </row>
    <row r="3771" spans="18:31" ht="75" customHeight="1">
      <c r="R3771" s="1"/>
      <c r="S3771" s="1"/>
      <c r="AD3771" s="1"/>
      <c r="AE3771" s="1"/>
    </row>
    <row r="3772" spans="18:31" ht="75" customHeight="1">
      <c r="R3772" s="1"/>
      <c r="S3772" s="1"/>
      <c r="AD3772" s="1"/>
      <c r="AE3772" s="1"/>
    </row>
    <row r="3773" spans="18:31" ht="75" customHeight="1">
      <c r="R3773" s="1"/>
      <c r="S3773" s="1"/>
      <c r="AD3773" s="1"/>
      <c r="AE3773" s="1"/>
    </row>
    <row r="3774" spans="18:31" ht="75" customHeight="1">
      <c r="R3774" s="1"/>
      <c r="S3774" s="1"/>
      <c r="AD3774" s="1"/>
      <c r="AE3774" s="1"/>
    </row>
    <row r="3775" spans="18:31" ht="75" customHeight="1">
      <c r="R3775" s="1"/>
      <c r="S3775" s="1"/>
      <c r="AD3775" s="1"/>
      <c r="AE3775" s="1"/>
    </row>
    <row r="3776" spans="18:31" ht="75" customHeight="1">
      <c r="R3776" s="1"/>
      <c r="S3776" s="1"/>
      <c r="AD3776" s="1"/>
      <c r="AE3776" s="1"/>
    </row>
    <row r="3777" spans="18:31" ht="75" customHeight="1">
      <c r="R3777" s="1"/>
      <c r="S3777" s="1"/>
      <c r="AD3777" s="1"/>
      <c r="AE3777" s="1"/>
    </row>
    <row r="3778" spans="18:31" ht="75" customHeight="1">
      <c r="R3778" s="1"/>
      <c r="S3778" s="1"/>
      <c r="AD3778" s="1"/>
      <c r="AE3778" s="1"/>
    </row>
    <row r="3779" spans="18:31" ht="75" customHeight="1">
      <c r="R3779" s="1"/>
      <c r="S3779" s="1"/>
      <c r="AD3779" s="1"/>
      <c r="AE3779" s="1"/>
    </row>
    <row r="3780" spans="18:31" ht="75" customHeight="1">
      <c r="R3780" s="1"/>
      <c r="S3780" s="1"/>
      <c r="AD3780" s="1"/>
      <c r="AE3780" s="1"/>
    </row>
    <row r="3781" spans="18:31" ht="75" customHeight="1">
      <c r="R3781" s="1"/>
      <c r="S3781" s="1"/>
      <c r="AD3781" s="1"/>
      <c r="AE3781" s="1"/>
    </row>
    <row r="3782" spans="18:31" ht="75" customHeight="1">
      <c r="R3782" s="1"/>
      <c r="S3782" s="1"/>
      <c r="AD3782" s="1"/>
      <c r="AE3782" s="1"/>
    </row>
    <row r="3783" spans="18:31" ht="75" customHeight="1">
      <c r="R3783" s="1"/>
      <c r="S3783" s="1"/>
      <c r="AD3783" s="1"/>
      <c r="AE3783" s="1"/>
    </row>
    <row r="3784" spans="18:31" ht="75" customHeight="1">
      <c r="R3784" s="1"/>
      <c r="S3784" s="1"/>
      <c r="AD3784" s="1"/>
      <c r="AE3784" s="1"/>
    </row>
    <row r="3785" spans="18:31" ht="75" customHeight="1">
      <c r="R3785" s="1"/>
      <c r="S3785" s="1"/>
      <c r="AD3785" s="1"/>
      <c r="AE3785" s="1"/>
    </row>
    <row r="3786" spans="18:31" ht="75" customHeight="1">
      <c r="R3786" s="1"/>
      <c r="S3786" s="1"/>
      <c r="AD3786" s="1"/>
      <c r="AE3786" s="1"/>
    </row>
    <row r="3787" spans="18:31" ht="75" customHeight="1">
      <c r="R3787" s="1"/>
      <c r="S3787" s="1"/>
      <c r="AD3787" s="1"/>
      <c r="AE3787" s="1"/>
    </row>
    <row r="3788" spans="18:31" ht="75" customHeight="1">
      <c r="R3788" s="1"/>
      <c r="S3788" s="1"/>
      <c r="AD3788" s="1"/>
      <c r="AE3788" s="1"/>
    </row>
    <row r="3789" spans="18:31" ht="75" customHeight="1">
      <c r="R3789" s="1"/>
      <c r="S3789" s="1"/>
      <c r="AD3789" s="1"/>
      <c r="AE3789" s="1"/>
    </row>
    <row r="3790" spans="18:31" ht="75" customHeight="1">
      <c r="R3790" s="1"/>
      <c r="S3790" s="1"/>
      <c r="AD3790" s="1"/>
      <c r="AE3790" s="1"/>
    </row>
    <row r="3791" spans="18:31" ht="75" customHeight="1">
      <c r="R3791" s="1"/>
      <c r="S3791" s="1"/>
      <c r="AD3791" s="1"/>
      <c r="AE3791" s="1"/>
    </row>
    <row r="3792" spans="18:31" ht="75" customHeight="1">
      <c r="R3792" s="1"/>
      <c r="S3792" s="1"/>
      <c r="AD3792" s="1"/>
      <c r="AE3792" s="1"/>
    </row>
    <row r="3793" spans="18:31" ht="75" customHeight="1">
      <c r="R3793" s="1"/>
      <c r="S3793" s="1"/>
      <c r="AD3793" s="1"/>
      <c r="AE3793" s="1"/>
    </row>
    <row r="3794" spans="18:31" ht="75" customHeight="1">
      <c r="R3794" s="1"/>
      <c r="S3794" s="1"/>
      <c r="AD3794" s="1"/>
      <c r="AE3794" s="1"/>
    </row>
    <row r="3795" spans="18:31" ht="75" customHeight="1">
      <c r="R3795" s="1"/>
      <c r="S3795" s="1"/>
      <c r="AD3795" s="1"/>
      <c r="AE3795" s="1"/>
    </row>
    <row r="3796" spans="18:31" ht="75" customHeight="1">
      <c r="R3796" s="1"/>
      <c r="S3796" s="1"/>
      <c r="AD3796" s="1"/>
      <c r="AE3796" s="1"/>
    </row>
    <row r="3797" spans="18:31" ht="75" customHeight="1">
      <c r="R3797" s="1"/>
      <c r="S3797" s="1"/>
      <c r="AD3797" s="1"/>
      <c r="AE3797" s="1"/>
    </row>
    <row r="3798" spans="18:31" ht="75" customHeight="1">
      <c r="R3798" s="1"/>
      <c r="S3798" s="1"/>
      <c r="AD3798" s="1"/>
      <c r="AE3798" s="1"/>
    </row>
    <row r="3799" spans="18:31" ht="75" customHeight="1">
      <c r="R3799" s="1"/>
      <c r="S3799" s="1"/>
      <c r="AD3799" s="1"/>
      <c r="AE3799" s="1"/>
    </row>
    <row r="3800" spans="18:31" ht="75" customHeight="1">
      <c r="R3800" s="1"/>
      <c r="S3800" s="1"/>
      <c r="AD3800" s="1"/>
      <c r="AE3800" s="1"/>
    </row>
    <row r="3801" spans="18:31" ht="75" customHeight="1">
      <c r="R3801" s="1"/>
      <c r="S3801" s="1"/>
      <c r="AD3801" s="1"/>
      <c r="AE3801" s="1"/>
    </row>
    <row r="3802" spans="18:31" ht="75" customHeight="1">
      <c r="R3802" s="1"/>
      <c r="S3802" s="1"/>
      <c r="AD3802" s="1"/>
      <c r="AE3802" s="1"/>
    </row>
    <row r="3803" spans="18:31" ht="75" customHeight="1">
      <c r="R3803" s="1"/>
      <c r="S3803" s="1"/>
      <c r="AD3803" s="1"/>
      <c r="AE3803" s="1"/>
    </row>
    <row r="3804" spans="18:31" ht="75" customHeight="1">
      <c r="R3804" s="1"/>
      <c r="S3804" s="1"/>
      <c r="AD3804" s="1"/>
      <c r="AE3804" s="1"/>
    </row>
    <row r="3805" spans="18:31" ht="75" customHeight="1">
      <c r="R3805" s="1"/>
      <c r="S3805" s="1"/>
      <c r="AD3805" s="1"/>
      <c r="AE3805" s="1"/>
    </row>
    <row r="3806" spans="18:31" ht="75" customHeight="1">
      <c r="R3806" s="1"/>
      <c r="S3806" s="1"/>
      <c r="AD3806" s="1"/>
      <c r="AE3806" s="1"/>
    </row>
    <row r="3807" spans="18:31" ht="75" customHeight="1">
      <c r="R3807" s="1"/>
      <c r="S3807" s="1"/>
      <c r="AD3807" s="1"/>
      <c r="AE3807" s="1"/>
    </row>
    <row r="3808" spans="18:31" ht="75" customHeight="1">
      <c r="R3808" s="1"/>
      <c r="S3808" s="1"/>
      <c r="AD3808" s="1"/>
      <c r="AE3808" s="1"/>
    </row>
    <row r="3809" spans="18:31" ht="75" customHeight="1">
      <c r="R3809" s="1"/>
      <c r="S3809" s="1"/>
      <c r="AD3809" s="1"/>
      <c r="AE3809" s="1"/>
    </row>
    <row r="3810" spans="18:31" ht="75" customHeight="1">
      <c r="R3810" s="1"/>
      <c r="S3810" s="1"/>
      <c r="AD3810" s="1"/>
      <c r="AE3810" s="1"/>
    </row>
    <row r="3811" spans="18:31" ht="75" customHeight="1">
      <c r="R3811" s="1"/>
      <c r="S3811" s="1"/>
      <c r="AD3811" s="1"/>
      <c r="AE3811" s="1"/>
    </row>
    <row r="3812" spans="18:31" ht="75" customHeight="1">
      <c r="R3812" s="1"/>
      <c r="S3812" s="1"/>
      <c r="AD3812" s="1"/>
      <c r="AE3812" s="1"/>
    </row>
    <row r="3813" spans="18:31" ht="75" customHeight="1">
      <c r="R3813" s="1"/>
      <c r="S3813" s="1"/>
      <c r="AD3813" s="1"/>
      <c r="AE3813" s="1"/>
    </row>
    <row r="3814" spans="18:31" ht="75" customHeight="1">
      <c r="R3814" s="1"/>
      <c r="S3814" s="1"/>
      <c r="AD3814" s="1"/>
      <c r="AE3814" s="1"/>
    </row>
    <row r="3815" spans="18:31" ht="75" customHeight="1">
      <c r="R3815" s="1"/>
      <c r="S3815" s="1"/>
      <c r="AD3815" s="1"/>
      <c r="AE3815" s="1"/>
    </row>
    <row r="3816" spans="18:31" ht="75" customHeight="1">
      <c r="R3816" s="1"/>
      <c r="S3816" s="1"/>
      <c r="AD3816" s="1"/>
      <c r="AE3816" s="1"/>
    </row>
    <row r="3817" spans="18:31" ht="75" customHeight="1">
      <c r="R3817" s="1"/>
      <c r="S3817" s="1"/>
      <c r="AD3817" s="1"/>
      <c r="AE3817" s="1"/>
    </row>
    <row r="3818" spans="18:31" ht="75" customHeight="1">
      <c r="R3818" s="1"/>
      <c r="S3818" s="1"/>
      <c r="AD3818" s="1"/>
      <c r="AE3818" s="1"/>
    </row>
    <row r="3819" spans="18:31" ht="75" customHeight="1">
      <c r="R3819" s="1"/>
      <c r="S3819" s="1"/>
      <c r="AD3819" s="1"/>
      <c r="AE3819" s="1"/>
    </row>
    <row r="3820" spans="18:31" ht="75" customHeight="1">
      <c r="R3820" s="1"/>
      <c r="S3820" s="1"/>
      <c r="AD3820" s="1"/>
      <c r="AE3820" s="1"/>
    </row>
    <row r="3821" spans="18:31" ht="75" customHeight="1">
      <c r="R3821" s="1"/>
      <c r="S3821" s="1"/>
      <c r="AD3821" s="1"/>
      <c r="AE3821" s="1"/>
    </row>
    <row r="3822" spans="18:31" ht="75" customHeight="1">
      <c r="R3822" s="1"/>
      <c r="S3822" s="1"/>
      <c r="AD3822" s="1"/>
      <c r="AE3822" s="1"/>
    </row>
    <row r="3823" spans="18:31" ht="75" customHeight="1">
      <c r="R3823" s="1"/>
      <c r="S3823" s="1"/>
      <c r="AD3823" s="1"/>
      <c r="AE3823" s="1"/>
    </row>
    <row r="3824" spans="18:31" ht="75" customHeight="1">
      <c r="R3824" s="1"/>
      <c r="S3824" s="1"/>
      <c r="AD3824" s="1"/>
      <c r="AE3824" s="1"/>
    </row>
    <row r="3825" spans="18:31" ht="75" customHeight="1">
      <c r="R3825" s="1"/>
      <c r="S3825" s="1"/>
      <c r="AD3825" s="1"/>
      <c r="AE3825" s="1"/>
    </row>
    <row r="3826" spans="18:31" ht="75" customHeight="1">
      <c r="R3826" s="1"/>
      <c r="S3826" s="1"/>
      <c r="AD3826" s="1"/>
      <c r="AE3826" s="1"/>
    </row>
    <row r="3827" spans="18:31" ht="75" customHeight="1">
      <c r="R3827" s="1"/>
      <c r="S3827" s="1"/>
      <c r="AD3827" s="1"/>
      <c r="AE3827" s="1"/>
    </row>
    <row r="3828" spans="18:31" ht="75" customHeight="1">
      <c r="R3828" s="1"/>
      <c r="S3828" s="1"/>
      <c r="AD3828" s="1"/>
      <c r="AE3828" s="1"/>
    </row>
    <row r="3829" spans="18:31" ht="75" customHeight="1">
      <c r="R3829" s="1"/>
      <c r="S3829" s="1"/>
      <c r="AD3829" s="1"/>
      <c r="AE3829" s="1"/>
    </row>
    <row r="3830" spans="18:31" ht="75" customHeight="1">
      <c r="R3830" s="1"/>
      <c r="S3830" s="1"/>
      <c r="AD3830" s="1"/>
      <c r="AE3830" s="1"/>
    </row>
    <row r="3831" spans="18:31" ht="75" customHeight="1">
      <c r="R3831" s="1"/>
      <c r="S3831" s="1"/>
      <c r="AD3831" s="1"/>
      <c r="AE3831" s="1"/>
    </row>
    <row r="3832" spans="18:31" ht="75" customHeight="1">
      <c r="R3832" s="1"/>
      <c r="S3832" s="1"/>
      <c r="AD3832" s="1"/>
      <c r="AE3832" s="1"/>
    </row>
    <row r="3833" spans="18:31" ht="75" customHeight="1">
      <c r="R3833" s="1"/>
      <c r="S3833" s="1"/>
      <c r="AD3833" s="1"/>
      <c r="AE3833" s="1"/>
    </row>
    <row r="3834" spans="18:31" ht="75" customHeight="1">
      <c r="R3834" s="1"/>
      <c r="S3834" s="1"/>
      <c r="AD3834" s="1"/>
      <c r="AE3834" s="1"/>
    </row>
    <row r="3835" spans="18:31" ht="75" customHeight="1">
      <c r="R3835" s="1"/>
      <c r="S3835" s="1"/>
      <c r="AD3835" s="1"/>
      <c r="AE3835" s="1"/>
    </row>
    <row r="3836" spans="18:31" ht="75" customHeight="1">
      <c r="R3836" s="1"/>
      <c r="S3836" s="1"/>
      <c r="AD3836" s="1"/>
      <c r="AE3836" s="1"/>
    </row>
    <row r="3837" spans="18:31" ht="75" customHeight="1">
      <c r="R3837" s="1"/>
      <c r="S3837" s="1"/>
      <c r="AD3837" s="1"/>
      <c r="AE3837" s="1"/>
    </row>
    <row r="3838" spans="18:31" ht="75" customHeight="1">
      <c r="R3838" s="1"/>
      <c r="S3838" s="1"/>
      <c r="AD3838" s="1"/>
      <c r="AE3838" s="1"/>
    </row>
    <row r="3839" spans="18:31" ht="75" customHeight="1">
      <c r="R3839" s="1"/>
      <c r="S3839" s="1"/>
      <c r="AD3839" s="1"/>
      <c r="AE3839" s="1"/>
    </row>
    <row r="3840" spans="18:31" ht="75" customHeight="1">
      <c r="R3840" s="1"/>
      <c r="S3840" s="1"/>
      <c r="AD3840" s="1"/>
      <c r="AE3840" s="1"/>
    </row>
    <row r="3841" spans="18:31" ht="75" customHeight="1">
      <c r="R3841" s="1"/>
      <c r="S3841" s="1"/>
      <c r="AD3841" s="1"/>
      <c r="AE3841" s="1"/>
    </row>
    <row r="3842" spans="18:31" ht="75" customHeight="1">
      <c r="R3842" s="1"/>
      <c r="S3842" s="1"/>
      <c r="AD3842" s="1"/>
      <c r="AE3842" s="1"/>
    </row>
    <row r="3843" spans="18:31" ht="75" customHeight="1">
      <c r="R3843" s="1"/>
      <c r="S3843" s="1"/>
      <c r="AD3843" s="1"/>
      <c r="AE3843" s="1"/>
    </row>
    <row r="3844" spans="18:31" ht="75" customHeight="1">
      <c r="R3844" s="1"/>
      <c r="S3844" s="1"/>
      <c r="AD3844" s="1"/>
      <c r="AE3844" s="1"/>
    </row>
    <row r="3845" spans="18:31" ht="75" customHeight="1">
      <c r="R3845" s="1"/>
      <c r="S3845" s="1"/>
      <c r="AD3845" s="1"/>
      <c r="AE3845" s="1"/>
    </row>
    <row r="3846" spans="18:31" ht="75" customHeight="1">
      <c r="R3846" s="1"/>
      <c r="S3846" s="1"/>
      <c r="AD3846" s="1"/>
      <c r="AE3846" s="1"/>
    </row>
    <row r="3847" spans="18:31" ht="75" customHeight="1">
      <c r="R3847" s="1"/>
      <c r="S3847" s="1"/>
      <c r="AD3847" s="1"/>
      <c r="AE3847" s="1"/>
    </row>
    <row r="3848" spans="18:31" ht="75" customHeight="1">
      <c r="R3848" s="1"/>
      <c r="S3848" s="1"/>
      <c r="AD3848" s="1"/>
      <c r="AE3848" s="1"/>
    </row>
    <row r="3849" spans="18:31" ht="75" customHeight="1">
      <c r="R3849" s="1"/>
      <c r="S3849" s="1"/>
      <c r="AD3849" s="1"/>
      <c r="AE3849" s="1"/>
    </row>
    <row r="3850" spans="18:31" ht="75" customHeight="1">
      <c r="R3850" s="1"/>
      <c r="S3850" s="1"/>
      <c r="AD3850" s="1"/>
      <c r="AE3850" s="1"/>
    </row>
    <row r="3851" spans="18:31" ht="75" customHeight="1">
      <c r="R3851" s="1"/>
      <c r="S3851" s="1"/>
      <c r="AD3851" s="1"/>
      <c r="AE3851" s="1"/>
    </row>
    <row r="3852" spans="18:31" ht="75" customHeight="1">
      <c r="R3852" s="1"/>
      <c r="S3852" s="1"/>
      <c r="AD3852" s="1"/>
      <c r="AE3852" s="1"/>
    </row>
    <row r="3853" spans="18:31" ht="75" customHeight="1">
      <c r="R3853" s="1"/>
      <c r="S3853" s="1"/>
      <c r="AD3853" s="1"/>
      <c r="AE3853" s="1"/>
    </row>
    <row r="3854" spans="18:31" ht="75" customHeight="1">
      <c r="R3854" s="1"/>
      <c r="S3854" s="1"/>
      <c r="AD3854" s="1"/>
      <c r="AE3854" s="1"/>
    </row>
    <row r="3855" spans="18:31" ht="75" customHeight="1">
      <c r="R3855" s="1"/>
      <c r="S3855" s="1"/>
      <c r="AD3855" s="1"/>
      <c r="AE3855" s="1"/>
    </row>
    <row r="3856" spans="18:31" ht="75" customHeight="1">
      <c r="R3856" s="1"/>
      <c r="S3856" s="1"/>
      <c r="AD3856" s="1"/>
      <c r="AE3856" s="1"/>
    </row>
    <row r="3857" spans="18:31" ht="75" customHeight="1">
      <c r="R3857" s="1"/>
      <c r="S3857" s="1"/>
      <c r="AD3857" s="1"/>
      <c r="AE3857" s="1"/>
    </row>
    <row r="3858" spans="18:31" ht="75" customHeight="1">
      <c r="R3858" s="1"/>
      <c r="S3858" s="1"/>
      <c r="AD3858" s="1"/>
      <c r="AE3858" s="1"/>
    </row>
    <row r="3859" spans="18:31" ht="75" customHeight="1">
      <c r="R3859" s="1"/>
      <c r="S3859" s="1"/>
      <c r="AD3859" s="1"/>
      <c r="AE3859" s="1"/>
    </row>
    <row r="3860" spans="18:31" ht="75" customHeight="1">
      <c r="R3860" s="1"/>
      <c r="S3860" s="1"/>
      <c r="AD3860" s="1"/>
      <c r="AE3860" s="1"/>
    </row>
    <row r="3861" spans="18:31" ht="75" customHeight="1">
      <c r="R3861" s="1"/>
      <c r="S3861" s="1"/>
      <c r="AD3861" s="1"/>
      <c r="AE3861" s="1"/>
    </row>
    <row r="3862" spans="18:31" ht="75" customHeight="1">
      <c r="R3862" s="1"/>
      <c r="S3862" s="1"/>
      <c r="AD3862" s="1"/>
      <c r="AE3862" s="1"/>
    </row>
    <row r="3863" spans="18:31" ht="75" customHeight="1">
      <c r="R3863" s="1"/>
      <c r="S3863" s="1"/>
      <c r="AD3863" s="1"/>
      <c r="AE3863" s="1"/>
    </row>
    <row r="3864" spans="18:31" ht="75" customHeight="1">
      <c r="R3864" s="1"/>
      <c r="S3864" s="1"/>
      <c r="AD3864" s="1"/>
      <c r="AE3864" s="1"/>
    </row>
    <row r="3865" spans="18:31" ht="75" customHeight="1">
      <c r="R3865" s="1"/>
      <c r="S3865" s="1"/>
      <c r="AD3865" s="1"/>
      <c r="AE3865" s="1"/>
    </row>
    <row r="3866" spans="18:31" ht="75" customHeight="1">
      <c r="R3866" s="1"/>
      <c r="S3866" s="1"/>
      <c r="AD3866" s="1"/>
      <c r="AE3866" s="1"/>
    </row>
    <row r="3867" spans="18:31" ht="75" customHeight="1">
      <c r="R3867" s="1"/>
      <c r="S3867" s="1"/>
      <c r="AD3867" s="1"/>
      <c r="AE3867" s="1"/>
    </row>
    <row r="3868" spans="18:31" ht="75" customHeight="1">
      <c r="R3868" s="1"/>
      <c r="S3868" s="1"/>
      <c r="AD3868" s="1"/>
      <c r="AE3868" s="1"/>
    </row>
    <row r="3869" spans="18:31" ht="75" customHeight="1">
      <c r="R3869" s="1"/>
      <c r="S3869" s="1"/>
      <c r="AD3869" s="1"/>
      <c r="AE3869" s="1"/>
    </row>
    <row r="3870" spans="18:31" ht="75" customHeight="1">
      <c r="R3870" s="1"/>
      <c r="S3870" s="1"/>
      <c r="AD3870" s="1"/>
      <c r="AE3870" s="1"/>
    </row>
    <row r="3871" spans="18:31" ht="75" customHeight="1">
      <c r="R3871" s="1"/>
      <c r="S3871" s="1"/>
      <c r="AD3871" s="1"/>
      <c r="AE3871" s="1"/>
    </row>
    <row r="3872" spans="18:31" ht="75" customHeight="1">
      <c r="R3872" s="1"/>
      <c r="S3872" s="1"/>
      <c r="AD3872" s="1"/>
      <c r="AE3872" s="1"/>
    </row>
    <row r="3873" spans="18:31" ht="75" customHeight="1">
      <c r="R3873" s="1"/>
      <c r="S3873" s="1"/>
      <c r="AD3873" s="1"/>
      <c r="AE3873" s="1"/>
    </row>
    <row r="3874" spans="18:31" ht="75" customHeight="1">
      <c r="R3874" s="1"/>
      <c r="S3874" s="1"/>
      <c r="AD3874" s="1"/>
      <c r="AE3874" s="1"/>
    </row>
    <row r="3875" spans="18:31" ht="75" customHeight="1">
      <c r="R3875" s="1"/>
      <c r="S3875" s="1"/>
      <c r="AD3875" s="1"/>
      <c r="AE3875" s="1"/>
    </row>
    <row r="3876" spans="18:31" ht="75" customHeight="1">
      <c r="R3876" s="1"/>
      <c r="S3876" s="1"/>
      <c r="AD3876" s="1"/>
      <c r="AE3876" s="1"/>
    </row>
    <row r="3877" spans="18:31" ht="75" customHeight="1">
      <c r="R3877" s="1"/>
      <c r="S3877" s="1"/>
      <c r="AD3877" s="1"/>
      <c r="AE3877" s="1"/>
    </row>
    <row r="3878" spans="18:31" ht="75" customHeight="1">
      <c r="R3878" s="1"/>
      <c r="S3878" s="1"/>
      <c r="AD3878" s="1"/>
      <c r="AE3878" s="1"/>
    </row>
    <row r="3879" spans="18:31" ht="75" customHeight="1">
      <c r="R3879" s="1"/>
      <c r="S3879" s="1"/>
      <c r="AD3879" s="1"/>
      <c r="AE3879" s="1"/>
    </row>
    <row r="3880" spans="18:31" ht="75" customHeight="1">
      <c r="R3880" s="1"/>
      <c r="S3880" s="1"/>
      <c r="AD3880" s="1"/>
      <c r="AE3880" s="1"/>
    </row>
    <row r="3881" spans="18:31" ht="75" customHeight="1">
      <c r="R3881" s="1"/>
      <c r="S3881" s="1"/>
      <c r="AD3881" s="1"/>
      <c r="AE3881" s="1"/>
    </row>
    <row r="3882" spans="18:31" ht="75" customHeight="1">
      <c r="R3882" s="1"/>
      <c r="S3882" s="1"/>
      <c r="AD3882" s="1"/>
      <c r="AE3882" s="1"/>
    </row>
    <row r="3883" spans="18:31" ht="75" customHeight="1">
      <c r="R3883" s="1"/>
      <c r="S3883" s="1"/>
      <c r="AD3883" s="1"/>
      <c r="AE3883" s="1"/>
    </row>
    <row r="3884" spans="18:31" ht="75" customHeight="1">
      <c r="R3884" s="1"/>
      <c r="S3884" s="1"/>
      <c r="AD3884" s="1"/>
      <c r="AE3884" s="1"/>
    </row>
    <row r="3885" spans="18:31" ht="75" customHeight="1">
      <c r="R3885" s="1"/>
      <c r="S3885" s="1"/>
      <c r="AD3885" s="1"/>
      <c r="AE3885" s="1"/>
    </row>
    <row r="3886" spans="18:31" ht="75" customHeight="1">
      <c r="R3886" s="1"/>
      <c r="S3886" s="1"/>
      <c r="AD3886" s="1"/>
      <c r="AE3886" s="1"/>
    </row>
    <row r="3887" spans="18:31" ht="75" customHeight="1">
      <c r="R3887" s="1"/>
      <c r="S3887" s="1"/>
      <c r="AD3887" s="1"/>
      <c r="AE3887" s="1"/>
    </row>
    <row r="3888" spans="18:31" ht="75" customHeight="1">
      <c r="R3888" s="1"/>
      <c r="S3888" s="1"/>
      <c r="AD3888" s="1"/>
      <c r="AE3888" s="1"/>
    </row>
    <row r="3889" spans="18:31" ht="75" customHeight="1">
      <c r="R3889" s="1"/>
      <c r="S3889" s="1"/>
      <c r="AD3889" s="1"/>
      <c r="AE3889" s="1"/>
    </row>
    <row r="3890" spans="18:31" ht="75" customHeight="1">
      <c r="R3890" s="1"/>
      <c r="S3890" s="1"/>
      <c r="AD3890" s="1"/>
      <c r="AE3890" s="1"/>
    </row>
    <row r="3891" spans="18:31" ht="75" customHeight="1">
      <c r="R3891" s="1"/>
      <c r="S3891" s="1"/>
      <c r="AD3891" s="1"/>
      <c r="AE3891" s="1"/>
    </row>
    <row r="3892" spans="18:31" ht="75" customHeight="1">
      <c r="R3892" s="1"/>
      <c r="S3892" s="1"/>
      <c r="AD3892" s="1"/>
      <c r="AE3892" s="1"/>
    </row>
    <row r="3893" spans="18:31" ht="75" customHeight="1">
      <c r="R3893" s="1"/>
      <c r="S3893" s="1"/>
      <c r="AD3893" s="1"/>
      <c r="AE3893" s="1"/>
    </row>
    <row r="3894" spans="18:31" ht="75" customHeight="1">
      <c r="R3894" s="1"/>
      <c r="S3894" s="1"/>
      <c r="AD3894" s="1"/>
      <c r="AE3894" s="1"/>
    </row>
    <row r="3895" spans="18:31" ht="75" customHeight="1">
      <c r="R3895" s="1"/>
      <c r="S3895" s="1"/>
      <c r="AD3895" s="1"/>
      <c r="AE3895" s="1"/>
    </row>
    <row r="3896" spans="18:31" ht="75" customHeight="1">
      <c r="R3896" s="1"/>
      <c r="S3896" s="1"/>
      <c r="AD3896" s="1"/>
      <c r="AE3896" s="1"/>
    </row>
    <row r="3897" spans="18:31" ht="75" customHeight="1">
      <c r="R3897" s="1"/>
      <c r="S3897" s="1"/>
      <c r="AD3897" s="1"/>
      <c r="AE3897" s="1"/>
    </row>
    <row r="3898" spans="18:31" ht="75" customHeight="1">
      <c r="R3898" s="1"/>
      <c r="S3898" s="1"/>
      <c r="AD3898" s="1"/>
      <c r="AE3898" s="1"/>
    </row>
    <row r="3899" spans="18:31" ht="75" customHeight="1">
      <c r="R3899" s="1"/>
      <c r="S3899" s="1"/>
      <c r="AD3899" s="1"/>
      <c r="AE3899" s="1"/>
    </row>
    <row r="3900" spans="18:31" ht="75" customHeight="1">
      <c r="R3900" s="1"/>
      <c r="S3900" s="1"/>
      <c r="AD3900" s="1"/>
      <c r="AE3900" s="1"/>
    </row>
    <row r="3901" spans="18:31" ht="75" customHeight="1">
      <c r="R3901" s="1"/>
      <c r="S3901" s="1"/>
      <c r="AD3901" s="1"/>
      <c r="AE3901" s="1"/>
    </row>
    <row r="3902" spans="18:31" ht="75" customHeight="1">
      <c r="R3902" s="1"/>
      <c r="S3902" s="1"/>
      <c r="AD3902" s="1"/>
      <c r="AE3902" s="1"/>
    </row>
    <row r="3903" spans="18:31" ht="75" customHeight="1">
      <c r="R3903" s="1"/>
      <c r="S3903" s="1"/>
      <c r="AD3903" s="1"/>
      <c r="AE3903" s="1"/>
    </row>
    <row r="3904" spans="18:31" ht="75" customHeight="1">
      <c r="R3904" s="1"/>
      <c r="S3904" s="1"/>
      <c r="AD3904" s="1"/>
      <c r="AE3904" s="1"/>
    </row>
    <row r="3905" spans="18:31" ht="75" customHeight="1">
      <c r="R3905" s="1"/>
      <c r="S3905" s="1"/>
      <c r="AD3905" s="1"/>
      <c r="AE3905" s="1"/>
    </row>
    <row r="3906" spans="18:31" ht="75" customHeight="1">
      <c r="R3906" s="1"/>
      <c r="S3906" s="1"/>
      <c r="AD3906" s="1"/>
      <c r="AE3906" s="1"/>
    </row>
    <row r="3907" spans="18:31" ht="75" customHeight="1">
      <c r="R3907" s="1"/>
      <c r="S3907" s="1"/>
      <c r="AD3907" s="1"/>
      <c r="AE3907" s="1"/>
    </row>
    <row r="3908" spans="18:31" ht="75" customHeight="1">
      <c r="R3908" s="1"/>
      <c r="S3908" s="1"/>
      <c r="AD3908" s="1"/>
      <c r="AE3908" s="1"/>
    </row>
    <row r="3909" spans="18:31" ht="75" customHeight="1">
      <c r="R3909" s="1"/>
      <c r="S3909" s="1"/>
      <c r="AD3909" s="1"/>
      <c r="AE3909" s="1"/>
    </row>
    <row r="3910" spans="18:31" ht="75" customHeight="1">
      <c r="R3910" s="1"/>
      <c r="S3910" s="1"/>
      <c r="AD3910" s="1"/>
      <c r="AE3910" s="1"/>
    </row>
    <row r="3911" spans="18:31" ht="75" customHeight="1">
      <c r="R3911" s="1"/>
      <c r="S3911" s="1"/>
      <c r="AD3911" s="1"/>
      <c r="AE3911" s="1"/>
    </row>
    <row r="3912" spans="18:31" ht="75" customHeight="1">
      <c r="R3912" s="1"/>
      <c r="S3912" s="1"/>
      <c r="AD3912" s="1"/>
      <c r="AE3912" s="1"/>
    </row>
    <row r="3913" spans="18:31" ht="75" customHeight="1">
      <c r="R3913" s="1"/>
      <c r="S3913" s="1"/>
      <c r="AD3913" s="1"/>
      <c r="AE3913" s="1"/>
    </row>
    <row r="3914" spans="18:31" ht="75" customHeight="1">
      <c r="R3914" s="1"/>
      <c r="S3914" s="1"/>
      <c r="AD3914" s="1"/>
      <c r="AE3914" s="1"/>
    </row>
    <row r="3915" spans="18:31" ht="75" customHeight="1">
      <c r="R3915" s="1"/>
      <c r="S3915" s="1"/>
      <c r="AD3915" s="1"/>
      <c r="AE3915" s="1"/>
    </row>
    <row r="3916" spans="18:31" ht="75" customHeight="1">
      <c r="R3916" s="1"/>
      <c r="S3916" s="1"/>
      <c r="AD3916" s="1"/>
      <c r="AE3916" s="1"/>
    </row>
    <row r="3917" spans="18:31" ht="75" customHeight="1">
      <c r="R3917" s="1"/>
      <c r="S3917" s="1"/>
      <c r="AD3917" s="1"/>
      <c r="AE3917" s="1"/>
    </row>
    <row r="3918" spans="18:31" ht="75" customHeight="1">
      <c r="R3918" s="1"/>
      <c r="S3918" s="1"/>
      <c r="AD3918" s="1"/>
      <c r="AE3918" s="1"/>
    </row>
    <row r="3919" spans="18:31" ht="75" customHeight="1">
      <c r="R3919" s="1"/>
      <c r="S3919" s="1"/>
      <c r="AD3919" s="1"/>
      <c r="AE3919" s="1"/>
    </row>
    <row r="3920" spans="18:31" ht="75" customHeight="1">
      <c r="R3920" s="1"/>
      <c r="S3920" s="1"/>
      <c r="AD3920" s="1"/>
      <c r="AE3920" s="1"/>
    </row>
    <row r="3921" spans="18:31" ht="75" customHeight="1">
      <c r="R3921" s="1"/>
      <c r="S3921" s="1"/>
      <c r="AD3921" s="1"/>
      <c r="AE3921" s="1"/>
    </row>
    <row r="3922" spans="18:31" ht="75" customHeight="1">
      <c r="R3922" s="1"/>
      <c r="S3922" s="1"/>
      <c r="AD3922" s="1"/>
      <c r="AE3922" s="1"/>
    </row>
    <row r="3923" spans="18:31" ht="75" customHeight="1">
      <c r="R3923" s="1"/>
      <c r="S3923" s="1"/>
      <c r="AD3923" s="1"/>
      <c r="AE3923" s="1"/>
    </row>
    <row r="3924" spans="18:31" ht="75" customHeight="1">
      <c r="R3924" s="1"/>
      <c r="S3924" s="1"/>
      <c r="AD3924" s="1"/>
      <c r="AE3924" s="1"/>
    </row>
    <row r="3925" spans="18:31" ht="75" customHeight="1">
      <c r="R3925" s="1"/>
      <c r="S3925" s="1"/>
      <c r="AD3925" s="1"/>
      <c r="AE3925" s="1"/>
    </row>
    <row r="3926" spans="18:31" ht="75" customHeight="1">
      <c r="R3926" s="1"/>
      <c r="S3926" s="1"/>
      <c r="AD3926" s="1"/>
      <c r="AE3926" s="1"/>
    </row>
    <row r="3927" spans="18:31" ht="75" customHeight="1">
      <c r="R3927" s="1"/>
      <c r="S3927" s="1"/>
      <c r="AD3927" s="1"/>
      <c r="AE3927" s="1"/>
    </row>
    <row r="3928" spans="18:31" ht="75" customHeight="1">
      <c r="R3928" s="1"/>
      <c r="S3928" s="1"/>
      <c r="AD3928" s="1"/>
      <c r="AE3928" s="1"/>
    </row>
    <row r="3929" spans="18:31" ht="75" customHeight="1">
      <c r="R3929" s="1"/>
      <c r="S3929" s="1"/>
      <c r="AD3929" s="1"/>
      <c r="AE3929" s="1"/>
    </row>
    <row r="3930" spans="18:31" ht="75" customHeight="1">
      <c r="R3930" s="1"/>
      <c r="S3930" s="1"/>
      <c r="AD3930" s="1"/>
      <c r="AE3930" s="1"/>
    </row>
    <row r="3931" spans="18:31" ht="75" customHeight="1">
      <c r="R3931" s="1"/>
      <c r="S3931" s="1"/>
      <c r="AD3931" s="1"/>
      <c r="AE3931" s="1"/>
    </row>
    <row r="3932" spans="18:31" ht="75" customHeight="1">
      <c r="R3932" s="1"/>
      <c r="S3932" s="1"/>
      <c r="AD3932" s="1"/>
      <c r="AE3932" s="1"/>
    </row>
    <row r="3933" spans="18:31" ht="75" customHeight="1">
      <c r="R3933" s="1"/>
      <c r="S3933" s="1"/>
      <c r="AD3933" s="1"/>
      <c r="AE3933" s="1"/>
    </row>
    <row r="3934" spans="18:31" ht="75" customHeight="1">
      <c r="R3934" s="1"/>
      <c r="S3934" s="1"/>
      <c r="AD3934" s="1"/>
      <c r="AE3934" s="1"/>
    </row>
    <row r="3935" spans="18:31" ht="75" customHeight="1">
      <c r="R3935" s="1"/>
      <c r="S3935" s="1"/>
      <c r="AD3935" s="1"/>
      <c r="AE3935" s="1"/>
    </row>
    <row r="3936" spans="18:31" ht="75" customHeight="1">
      <c r="R3936" s="1"/>
      <c r="S3936" s="1"/>
      <c r="AD3936" s="1"/>
      <c r="AE3936" s="1"/>
    </row>
    <row r="3937" spans="18:31" ht="75" customHeight="1">
      <c r="R3937" s="1"/>
      <c r="S3937" s="1"/>
      <c r="AD3937" s="1"/>
      <c r="AE3937" s="1"/>
    </row>
    <row r="3938" spans="18:31" ht="75" customHeight="1">
      <c r="R3938" s="1"/>
      <c r="S3938" s="1"/>
      <c r="AD3938" s="1"/>
      <c r="AE3938" s="1"/>
    </row>
    <row r="3939" spans="18:31" ht="75" customHeight="1">
      <c r="R3939" s="1"/>
      <c r="S3939" s="1"/>
      <c r="AD3939" s="1"/>
      <c r="AE3939" s="1"/>
    </row>
    <row r="3940" spans="18:31" ht="75" customHeight="1">
      <c r="R3940" s="1"/>
      <c r="S3940" s="1"/>
      <c r="AD3940" s="1"/>
      <c r="AE3940" s="1"/>
    </row>
    <row r="3941" spans="18:31" ht="75" customHeight="1">
      <c r="R3941" s="1"/>
      <c r="S3941" s="1"/>
      <c r="AD3941" s="1"/>
      <c r="AE3941" s="1"/>
    </row>
    <row r="3942" spans="18:31" ht="75" customHeight="1">
      <c r="R3942" s="1"/>
      <c r="S3942" s="1"/>
      <c r="AD3942" s="1"/>
      <c r="AE3942" s="1"/>
    </row>
    <row r="3943" spans="18:31" ht="75" customHeight="1">
      <c r="R3943" s="1"/>
      <c r="S3943" s="1"/>
      <c r="AD3943" s="1"/>
      <c r="AE3943" s="1"/>
    </row>
    <row r="3944" spans="18:31" ht="75" customHeight="1">
      <c r="R3944" s="1"/>
      <c r="S3944" s="1"/>
      <c r="AD3944" s="1"/>
      <c r="AE3944" s="1"/>
    </row>
    <row r="3945" spans="18:31" ht="75" customHeight="1">
      <c r="R3945" s="1"/>
      <c r="S3945" s="1"/>
      <c r="AD3945" s="1"/>
      <c r="AE3945" s="1"/>
    </row>
    <row r="3946" spans="18:31" ht="75" customHeight="1">
      <c r="R3946" s="1"/>
      <c r="S3946" s="1"/>
      <c r="AD3946" s="1"/>
      <c r="AE3946" s="1"/>
    </row>
    <row r="3947" spans="18:31" ht="75" customHeight="1">
      <c r="R3947" s="1"/>
      <c r="S3947" s="1"/>
      <c r="AD3947" s="1"/>
      <c r="AE3947" s="1"/>
    </row>
    <row r="3948" spans="18:31" ht="75" customHeight="1">
      <c r="R3948" s="1"/>
      <c r="S3948" s="1"/>
      <c r="AD3948" s="1"/>
      <c r="AE3948" s="1"/>
    </row>
    <row r="3949" spans="18:31" ht="75" customHeight="1">
      <c r="R3949" s="1"/>
      <c r="S3949" s="1"/>
      <c r="AD3949" s="1"/>
      <c r="AE3949" s="1"/>
    </row>
    <row r="3950" spans="18:31" ht="75" customHeight="1">
      <c r="R3950" s="1"/>
      <c r="S3950" s="1"/>
      <c r="AD3950" s="1"/>
      <c r="AE3950" s="1"/>
    </row>
    <row r="3951" spans="18:31" ht="75" customHeight="1">
      <c r="R3951" s="1"/>
      <c r="S3951" s="1"/>
      <c r="AD3951" s="1"/>
      <c r="AE3951" s="1"/>
    </row>
    <row r="3952" spans="18:31" ht="75" customHeight="1">
      <c r="R3952" s="1"/>
      <c r="S3952" s="1"/>
      <c r="AD3952" s="1"/>
      <c r="AE3952" s="1"/>
    </row>
    <row r="3953" spans="18:31" ht="75" customHeight="1">
      <c r="R3953" s="1"/>
      <c r="S3953" s="1"/>
      <c r="AD3953" s="1"/>
      <c r="AE3953" s="1"/>
    </row>
    <row r="3954" spans="18:31" ht="75" customHeight="1">
      <c r="R3954" s="1"/>
      <c r="S3954" s="1"/>
      <c r="AD3954" s="1"/>
      <c r="AE3954" s="1"/>
    </row>
    <row r="3955" spans="18:31" ht="75" customHeight="1">
      <c r="R3955" s="1"/>
      <c r="S3955" s="1"/>
      <c r="AD3955" s="1"/>
      <c r="AE3955" s="1"/>
    </row>
    <row r="3956" spans="18:31" ht="75" customHeight="1">
      <c r="R3956" s="1"/>
      <c r="S3956" s="1"/>
      <c r="AD3956" s="1"/>
      <c r="AE3956" s="1"/>
    </row>
    <row r="3957" spans="18:31" ht="75" customHeight="1">
      <c r="R3957" s="1"/>
      <c r="S3957" s="1"/>
      <c r="AD3957" s="1"/>
      <c r="AE3957" s="1"/>
    </row>
    <row r="3958" spans="18:31" ht="75" customHeight="1">
      <c r="R3958" s="1"/>
      <c r="S3958" s="1"/>
      <c r="AD3958" s="1"/>
      <c r="AE3958" s="1"/>
    </row>
    <row r="3959" spans="18:31" ht="75" customHeight="1">
      <c r="R3959" s="1"/>
      <c r="S3959" s="1"/>
      <c r="AD3959" s="1"/>
      <c r="AE3959" s="1"/>
    </row>
    <row r="3960" spans="18:31" ht="75" customHeight="1">
      <c r="R3960" s="1"/>
      <c r="S3960" s="1"/>
      <c r="AD3960" s="1"/>
      <c r="AE3960" s="1"/>
    </row>
    <row r="3961" spans="18:31" ht="75" customHeight="1">
      <c r="R3961" s="1"/>
      <c r="S3961" s="1"/>
      <c r="AD3961" s="1"/>
      <c r="AE3961" s="1"/>
    </row>
    <row r="3962" spans="18:31" ht="75" customHeight="1">
      <c r="R3962" s="1"/>
      <c r="S3962" s="1"/>
      <c r="AD3962" s="1"/>
      <c r="AE3962" s="1"/>
    </row>
    <row r="3963" spans="18:31" ht="75" customHeight="1">
      <c r="R3963" s="1"/>
      <c r="S3963" s="1"/>
      <c r="AD3963" s="1"/>
      <c r="AE3963" s="1"/>
    </row>
    <row r="3964" spans="18:31" ht="75" customHeight="1">
      <c r="R3964" s="1"/>
      <c r="S3964" s="1"/>
      <c r="AD3964" s="1"/>
      <c r="AE3964" s="1"/>
    </row>
    <row r="3965" spans="18:31" ht="75" customHeight="1">
      <c r="R3965" s="1"/>
      <c r="S3965" s="1"/>
      <c r="AD3965" s="1"/>
      <c r="AE3965" s="1"/>
    </row>
    <row r="3966" spans="18:31" ht="75" customHeight="1">
      <c r="R3966" s="1"/>
      <c r="S3966" s="1"/>
      <c r="AD3966" s="1"/>
      <c r="AE3966" s="1"/>
    </row>
    <row r="3967" spans="18:31" ht="75" customHeight="1">
      <c r="R3967" s="1"/>
      <c r="S3967" s="1"/>
      <c r="AD3967" s="1"/>
      <c r="AE3967" s="1"/>
    </row>
    <row r="3968" spans="18:31" ht="75" customHeight="1">
      <c r="R3968" s="1"/>
      <c r="S3968" s="1"/>
      <c r="AD3968" s="1"/>
      <c r="AE3968" s="1"/>
    </row>
    <row r="3969" spans="18:31" ht="75" customHeight="1">
      <c r="R3969" s="1"/>
      <c r="S3969" s="1"/>
      <c r="AD3969" s="1"/>
      <c r="AE3969" s="1"/>
    </row>
    <row r="3970" spans="18:31" ht="75" customHeight="1">
      <c r="R3970" s="1"/>
      <c r="S3970" s="1"/>
      <c r="AD3970" s="1"/>
      <c r="AE3970" s="1"/>
    </row>
    <row r="3971" spans="18:31" ht="75" customHeight="1">
      <c r="R3971" s="1"/>
      <c r="S3971" s="1"/>
      <c r="AD3971" s="1"/>
      <c r="AE3971" s="1"/>
    </row>
    <row r="3972" spans="18:31" ht="75" customHeight="1">
      <c r="R3972" s="1"/>
      <c r="S3972" s="1"/>
      <c r="AD3972" s="1"/>
      <c r="AE3972" s="1"/>
    </row>
    <row r="3973" spans="18:31" ht="75" customHeight="1">
      <c r="R3973" s="1"/>
      <c r="S3973" s="1"/>
      <c r="AD3973" s="1"/>
      <c r="AE3973" s="1"/>
    </row>
    <row r="3974" spans="18:31" ht="75" customHeight="1">
      <c r="R3974" s="1"/>
      <c r="S3974" s="1"/>
      <c r="AD3974" s="1"/>
      <c r="AE3974" s="1"/>
    </row>
    <row r="3975" spans="18:31" ht="75" customHeight="1">
      <c r="R3975" s="1"/>
      <c r="S3975" s="1"/>
      <c r="AD3975" s="1"/>
      <c r="AE3975" s="1"/>
    </row>
    <row r="3976" spans="18:31" ht="75" customHeight="1">
      <c r="R3976" s="1"/>
      <c r="S3976" s="1"/>
      <c r="AD3976" s="1"/>
      <c r="AE3976" s="1"/>
    </row>
    <row r="3977" spans="18:31" ht="75" customHeight="1">
      <c r="R3977" s="1"/>
      <c r="S3977" s="1"/>
      <c r="AD3977" s="1"/>
      <c r="AE3977" s="1"/>
    </row>
    <row r="3978" spans="18:31" ht="75" customHeight="1">
      <c r="R3978" s="1"/>
      <c r="S3978" s="1"/>
      <c r="AD3978" s="1"/>
      <c r="AE3978" s="1"/>
    </row>
    <row r="3979" spans="18:31" ht="75" customHeight="1">
      <c r="R3979" s="1"/>
      <c r="S3979" s="1"/>
      <c r="AD3979" s="1"/>
      <c r="AE3979" s="1"/>
    </row>
    <row r="3980" spans="18:31" ht="75" customHeight="1">
      <c r="R3980" s="1"/>
      <c r="S3980" s="1"/>
      <c r="AD3980" s="1"/>
      <c r="AE3980" s="1"/>
    </row>
    <row r="3981" spans="18:31" ht="75" customHeight="1">
      <c r="R3981" s="1"/>
      <c r="S3981" s="1"/>
      <c r="AD3981" s="1"/>
      <c r="AE3981" s="1"/>
    </row>
    <row r="3982" spans="18:31" ht="75" customHeight="1">
      <c r="R3982" s="1"/>
      <c r="S3982" s="1"/>
      <c r="AD3982" s="1"/>
      <c r="AE3982" s="1"/>
    </row>
    <row r="3983" spans="18:31" ht="75" customHeight="1">
      <c r="R3983" s="1"/>
      <c r="S3983" s="1"/>
      <c r="AD3983" s="1"/>
      <c r="AE3983" s="1"/>
    </row>
    <row r="3984" spans="18:31" ht="75" customHeight="1">
      <c r="R3984" s="1"/>
      <c r="S3984" s="1"/>
      <c r="AD3984" s="1"/>
      <c r="AE3984" s="1"/>
    </row>
    <row r="3985" spans="18:31" ht="75" customHeight="1">
      <c r="R3985" s="1"/>
      <c r="S3985" s="1"/>
      <c r="AD3985" s="1"/>
      <c r="AE3985" s="1"/>
    </row>
    <row r="3986" spans="18:31" ht="75" customHeight="1">
      <c r="R3986" s="1"/>
      <c r="S3986" s="1"/>
      <c r="AD3986" s="1"/>
      <c r="AE3986" s="1"/>
    </row>
    <row r="3987" spans="18:31" ht="75" customHeight="1">
      <c r="R3987" s="1"/>
      <c r="S3987" s="1"/>
      <c r="AD3987" s="1"/>
      <c r="AE3987" s="1"/>
    </row>
    <row r="3988" spans="18:31" ht="75" customHeight="1">
      <c r="R3988" s="1"/>
      <c r="S3988" s="1"/>
      <c r="AD3988" s="1"/>
      <c r="AE3988" s="1"/>
    </row>
    <row r="3989" spans="18:31" ht="75" customHeight="1">
      <c r="R3989" s="1"/>
      <c r="S3989" s="1"/>
      <c r="AD3989" s="1"/>
      <c r="AE3989" s="1"/>
    </row>
    <row r="3990" spans="18:31" ht="75" customHeight="1">
      <c r="R3990" s="1"/>
      <c r="S3990" s="1"/>
      <c r="AD3990" s="1"/>
      <c r="AE3990" s="1"/>
    </row>
    <row r="3991" spans="18:31" ht="75" customHeight="1">
      <c r="R3991" s="1"/>
      <c r="S3991" s="1"/>
      <c r="AD3991" s="1"/>
      <c r="AE3991" s="1"/>
    </row>
    <row r="3992" spans="18:31" ht="75" customHeight="1">
      <c r="R3992" s="1"/>
      <c r="S3992" s="1"/>
      <c r="AD3992" s="1"/>
      <c r="AE3992" s="1"/>
    </row>
    <row r="3993" spans="18:31" ht="75" customHeight="1">
      <c r="R3993" s="1"/>
      <c r="S3993" s="1"/>
      <c r="AD3993" s="1"/>
      <c r="AE3993" s="1"/>
    </row>
    <row r="3994" spans="18:31" ht="75" customHeight="1">
      <c r="R3994" s="1"/>
      <c r="S3994" s="1"/>
      <c r="AD3994" s="1"/>
      <c r="AE3994" s="1"/>
    </row>
    <row r="3995" spans="18:31" ht="75" customHeight="1">
      <c r="R3995" s="1"/>
      <c r="S3995" s="1"/>
      <c r="AD3995" s="1"/>
      <c r="AE3995" s="1"/>
    </row>
    <row r="3996" spans="18:31" ht="75" customHeight="1">
      <c r="R3996" s="1"/>
      <c r="S3996" s="1"/>
      <c r="AD3996" s="1"/>
      <c r="AE3996" s="1"/>
    </row>
    <row r="3997" spans="18:31" ht="75" customHeight="1">
      <c r="R3997" s="1"/>
      <c r="S3997" s="1"/>
      <c r="AD3997" s="1"/>
      <c r="AE3997" s="1"/>
    </row>
    <row r="3998" spans="18:31" ht="75" customHeight="1">
      <c r="R3998" s="1"/>
      <c r="S3998" s="1"/>
      <c r="AD3998" s="1"/>
      <c r="AE3998" s="1"/>
    </row>
    <row r="3999" spans="18:31" ht="75" customHeight="1">
      <c r="R3999" s="1"/>
      <c r="S3999" s="1"/>
      <c r="AD3999" s="1"/>
      <c r="AE3999" s="1"/>
    </row>
    <row r="4000" spans="18:31" ht="75" customHeight="1">
      <c r="R4000" s="1"/>
      <c r="S4000" s="1"/>
      <c r="AD4000" s="1"/>
      <c r="AE4000" s="1"/>
    </row>
    <row r="4001" spans="18:31" ht="75" customHeight="1">
      <c r="R4001" s="1"/>
      <c r="S4001" s="1"/>
      <c r="AD4001" s="1"/>
      <c r="AE4001" s="1"/>
    </row>
    <row r="4002" spans="18:31" ht="75" customHeight="1">
      <c r="R4002" s="1"/>
      <c r="S4002" s="1"/>
      <c r="AD4002" s="1"/>
      <c r="AE4002" s="1"/>
    </row>
    <row r="4003" spans="18:31" ht="75" customHeight="1">
      <c r="R4003" s="1"/>
      <c r="S4003" s="1"/>
      <c r="AD4003" s="1"/>
      <c r="AE4003" s="1"/>
    </row>
    <row r="4004" spans="18:31" ht="75" customHeight="1">
      <c r="R4004" s="1"/>
      <c r="S4004" s="1"/>
      <c r="AD4004" s="1"/>
      <c r="AE4004" s="1"/>
    </row>
    <row r="4005" spans="18:31" ht="75" customHeight="1">
      <c r="R4005" s="1"/>
      <c r="S4005" s="1"/>
      <c r="AD4005" s="1"/>
      <c r="AE4005" s="1"/>
    </row>
    <row r="4006" spans="18:31" ht="75" customHeight="1">
      <c r="R4006" s="1"/>
      <c r="S4006" s="1"/>
      <c r="AD4006" s="1"/>
      <c r="AE4006" s="1"/>
    </row>
    <row r="4007" spans="18:31" ht="75" customHeight="1">
      <c r="R4007" s="1"/>
      <c r="S4007" s="1"/>
      <c r="AD4007" s="1"/>
      <c r="AE4007" s="1"/>
    </row>
    <row r="4008" spans="18:31" ht="75" customHeight="1">
      <c r="R4008" s="1"/>
      <c r="S4008" s="1"/>
      <c r="AD4008" s="1"/>
      <c r="AE4008" s="1"/>
    </row>
    <row r="4009" spans="18:31" ht="75" customHeight="1">
      <c r="R4009" s="1"/>
      <c r="S4009" s="1"/>
      <c r="AD4009" s="1"/>
      <c r="AE4009" s="1"/>
    </row>
    <row r="4010" spans="18:31" ht="75" customHeight="1">
      <c r="R4010" s="1"/>
      <c r="S4010" s="1"/>
      <c r="AD4010" s="1"/>
      <c r="AE4010" s="1"/>
    </row>
    <row r="4011" spans="18:31" ht="75" customHeight="1">
      <c r="R4011" s="1"/>
      <c r="S4011" s="1"/>
      <c r="AD4011" s="1"/>
      <c r="AE4011" s="1"/>
    </row>
    <row r="4012" spans="18:31" ht="75" customHeight="1">
      <c r="R4012" s="1"/>
      <c r="S4012" s="1"/>
      <c r="AD4012" s="1"/>
      <c r="AE4012" s="1"/>
    </row>
    <row r="4013" spans="18:31" ht="75" customHeight="1">
      <c r="R4013" s="1"/>
      <c r="S4013" s="1"/>
      <c r="AD4013" s="1"/>
      <c r="AE4013" s="1"/>
    </row>
    <row r="4014" spans="18:31" ht="75" customHeight="1">
      <c r="R4014" s="1"/>
      <c r="S4014" s="1"/>
      <c r="AD4014" s="1"/>
      <c r="AE4014" s="1"/>
    </row>
    <row r="4015" spans="18:31" ht="75" customHeight="1">
      <c r="R4015" s="1"/>
      <c r="S4015" s="1"/>
      <c r="AD4015" s="1"/>
      <c r="AE4015" s="1"/>
    </row>
    <row r="4016" spans="18:31" ht="75" customHeight="1">
      <c r="R4016" s="1"/>
      <c r="S4016" s="1"/>
      <c r="AD4016" s="1"/>
      <c r="AE4016" s="1"/>
    </row>
    <row r="4017" spans="18:31" ht="75" customHeight="1">
      <c r="R4017" s="1"/>
      <c r="S4017" s="1"/>
      <c r="AD4017" s="1"/>
      <c r="AE4017" s="1"/>
    </row>
    <row r="4018" spans="18:31" ht="75" customHeight="1">
      <c r="R4018" s="1"/>
      <c r="S4018" s="1"/>
      <c r="AD4018" s="1"/>
      <c r="AE4018" s="1"/>
    </row>
    <row r="4019" spans="18:31" ht="75" customHeight="1">
      <c r="R4019" s="1"/>
      <c r="S4019" s="1"/>
      <c r="AD4019" s="1"/>
      <c r="AE4019" s="1"/>
    </row>
    <row r="4020" spans="18:31" ht="75" customHeight="1">
      <c r="R4020" s="1"/>
      <c r="S4020" s="1"/>
      <c r="AD4020" s="1"/>
      <c r="AE4020" s="1"/>
    </row>
    <row r="4021" spans="18:31" ht="75" customHeight="1">
      <c r="R4021" s="1"/>
      <c r="S4021" s="1"/>
      <c r="AD4021" s="1"/>
      <c r="AE4021" s="1"/>
    </row>
    <row r="4022" spans="18:31" ht="75" customHeight="1">
      <c r="R4022" s="1"/>
      <c r="S4022" s="1"/>
      <c r="AD4022" s="1"/>
      <c r="AE4022" s="1"/>
    </row>
    <row r="4023" spans="18:31" ht="75" customHeight="1">
      <c r="R4023" s="1"/>
      <c r="S4023" s="1"/>
      <c r="AD4023" s="1"/>
      <c r="AE4023" s="1"/>
    </row>
    <row r="4024" spans="18:31" ht="75" customHeight="1">
      <c r="R4024" s="1"/>
      <c r="S4024" s="1"/>
      <c r="AD4024" s="1"/>
      <c r="AE4024" s="1"/>
    </row>
    <row r="4025" spans="18:31" ht="75" customHeight="1">
      <c r="R4025" s="1"/>
      <c r="S4025" s="1"/>
      <c r="AD4025" s="1"/>
      <c r="AE4025" s="1"/>
    </row>
    <row r="4026" spans="18:31" ht="75" customHeight="1">
      <c r="R4026" s="1"/>
      <c r="S4026" s="1"/>
      <c r="AD4026" s="1"/>
      <c r="AE4026" s="1"/>
    </row>
    <row r="4027" spans="18:31" ht="75" customHeight="1">
      <c r="R4027" s="1"/>
      <c r="S4027" s="1"/>
      <c r="AD4027" s="1"/>
      <c r="AE4027" s="1"/>
    </row>
    <row r="4028" spans="18:31" ht="75" customHeight="1">
      <c r="R4028" s="1"/>
      <c r="S4028" s="1"/>
      <c r="AD4028" s="1"/>
      <c r="AE4028" s="1"/>
    </row>
    <row r="4029" spans="18:31" ht="75" customHeight="1">
      <c r="R4029" s="1"/>
      <c r="S4029" s="1"/>
      <c r="AD4029" s="1"/>
      <c r="AE4029" s="1"/>
    </row>
    <row r="4030" spans="18:31" ht="75" customHeight="1">
      <c r="R4030" s="1"/>
      <c r="S4030" s="1"/>
      <c r="AD4030" s="1"/>
      <c r="AE4030" s="1"/>
    </row>
    <row r="4031" spans="18:31" ht="75" customHeight="1">
      <c r="R4031" s="1"/>
      <c r="S4031" s="1"/>
      <c r="AD4031" s="1"/>
      <c r="AE4031" s="1"/>
    </row>
    <row r="4032" spans="18:31" ht="75" customHeight="1">
      <c r="R4032" s="1"/>
      <c r="S4032" s="1"/>
      <c r="AD4032" s="1"/>
      <c r="AE4032" s="1"/>
    </row>
    <row r="4033" spans="18:31" ht="75" customHeight="1">
      <c r="R4033" s="1"/>
      <c r="S4033" s="1"/>
      <c r="AD4033" s="1"/>
      <c r="AE4033" s="1"/>
    </row>
    <row r="4034" spans="18:31" ht="75" customHeight="1">
      <c r="R4034" s="1"/>
      <c r="S4034" s="1"/>
      <c r="AD4034" s="1"/>
      <c r="AE4034" s="1"/>
    </row>
    <row r="4035" spans="18:31" ht="75" customHeight="1">
      <c r="R4035" s="1"/>
      <c r="S4035" s="1"/>
      <c r="AD4035" s="1"/>
      <c r="AE4035" s="1"/>
    </row>
    <row r="4036" spans="18:31" ht="75" customHeight="1">
      <c r="R4036" s="1"/>
      <c r="S4036" s="1"/>
      <c r="AD4036" s="1"/>
      <c r="AE4036" s="1"/>
    </row>
    <row r="4037" spans="18:31" ht="75" customHeight="1">
      <c r="R4037" s="1"/>
      <c r="S4037" s="1"/>
      <c r="AD4037" s="1"/>
      <c r="AE4037" s="1"/>
    </row>
    <row r="4038" spans="18:31" ht="75" customHeight="1">
      <c r="R4038" s="1"/>
      <c r="S4038" s="1"/>
      <c r="AD4038" s="1"/>
      <c r="AE4038" s="1"/>
    </row>
    <row r="4039" spans="18:31" ht="75" customHeight="1">
      <c r="R4039" s="1"/>
      <c r="S4039" s="1"/>
      <c r="AD4039" s="1"/>
      <c r="AE4039" s="1"/>
    </row>
    <row r="4040" spans="18:31" ht="75" customHeight="1">
      <c r="R4040" s="1"/>
      <c r="S4040" s="1"/>
      <c r="AD4040" s="1"/>
      <c r="AE4040" s="1"/>
    </row>
    <row r="4041" spans="18:31" ht="75" customHeight="1">
      <c r="R4041" s="1"/>
      <c r="S4041" s="1"/>
      <c r="AD4041" s="1"/>
      <c r="AE4041" s="1"/>
    </row>
    <row r="4042" spans="18:31" ht="75" customHeight="1">
      <c r="R4042" s="1"/>
      <c r="S4042" s="1"/>
      <c r="AD4042" s="1"/>
      <c r="AE4042" s="1"/>
    </row>
    <row r="4043" spans="18:31" ht="75" customHeight="1">
      <c r="R4043" s="1"/>
      <c r="S4043" s="1"/>
      <c r="AD4043" s="1"/>
      <c r="AE4043" s="1"/>
    </row>
    <row r="4044" spans="18:31" ht="75" customHeight="1">
      <c r="R4044" s="1"/>
      <c r="S4044" s="1"/>
      <c r="AD4044" s="1"/>
      <c r="AE4044" s="1"/>
    </row>
    <row r="4045" spans="18:31" ht="75" customHeight="1">
      <c r="R4045" s="1"/>
      <c r="S4045" s="1"/>
      <c r="AD4045" s="1"/>
      <c r="AE4045" s="1"/>
    </row>
    <row r="4046" spans="18:31" ht="75" customHeight="1">
      <c r="R4046" s="1"/>
      <c r="S4046" s="1"/>
      <c r="AD4046" s="1"/>
      <c r="AE4046" s="1"/>
    </row>
    <row r="4047" spans="18:31" ht="75" customHeight="1">
      <c r="R4047" s="1"/>
      <c r="S4047" s="1"/>
      <c r="AD4047" s="1"/>
      <c r="AE4047" s="1"/>
    </row>
    <row r="4048" spans="18:31" ht="75" customHeight="1">
      <c r="R4048" s="1"/>
      <c r="S4048" s="1"/>
      <c r="AD4048" s="1"/>
      <c r="AE4048" s="1"/>
    </row>
    <row r="4049" spans="18:31" ht="75" customHeight="1">
      <c r="R4049" s="1"/>
      <c r="S4049" s="1"/>
      <c r="AD4049" s="1"/>
      <c r="AE4049" s="1"/>
    </row>
    <row r="4050" spans="18:31" ht="75" customHeight="1">
      <c r="R4050" s="1"/>
      <c r="S4050" s="1"/>
      <c r="AD4050" s="1"/>
      <c r="AE4050" s="1"/>
    </row>
    <row r="4051" spans="18:31" ht="75" customHeight="1">
      <c r="R4051" s="1"/>
      <c r="S4051" s="1"/>
      <c r="AD4051" s="1"/>
      <c r="AE4051" s="1"/>
    </row>
    <row r="4052" spans="18:31" ht="75" customHeight="1">
      <c r="R4052" s="1"/>
      <c r="S4052" s="1"/>
      <c r="AD4052" s="1"/>
      <c r="AE4052" s="1"/>
    </row>
    <row r="4053" spans="18:31" ht="75" customHeight="1">
      <c r="R4053" s="1"/>
      <c r="S4053" s="1"/>
      <c r="AD4053" s="1"/>
      <c r="AE4053" s="1"/>
    </row>
    <row r="4054" spans="18:31" ht="75" customHeight="1">
      <c r="R4054" s="1"/>
      <c r="S4054" s="1"/>
      <c r="AD4054" s="1"/>
      <c r="AE4054" s="1"/>
    </row>
    <row r="4055" spans="18:31" ht="75" customHeight="1">
      <c r="R4055" s="1"/>
      <c r="S4055" s="1"/>
      <c r="AD4055" s="1"/>
      <c r="AE4055" s="1"/>
    </row>
    <row r="4056" spans="18:31" ht="75" customHeight="1">
      <c r="R4056" s="1"/>
      <c r="S4056" s="1"/>
      <c r="AD4056" s="1"/>
      <c r="AE4056" s="1"/>
    </row>
    <row r="4057" spans="18:31" ht="75" customHeight="1">
      <c r="R4057" s="1"/>
      <c r="S4057" s="1"/>
      <c r="AD4057" s="1"/>
      <c r="AE4057" s="1"/>
    </row>
    <row r="4058" spans="18:31" ht="75" customHeight="1">
      <c r="R4058" s="1"/>
      <c r="S4058" s="1"/>
      <c r="AD4058" s="1"/>
      <c r="AE4058" s="1"/>
    </row>
    <row r="4059" spans="18:31" ht="75" customHeight="1">
      <c r="R4059" s="1"/>
      <c r="S4059" s="1"/>
      <c r="AD4059" s="1"/>
      <c r="AE4059" s="1"/>
    </row>
    <row r="4060" spans="18:31" ht="75" customHeight="1">
      <c r="R4060" s="1"/>
      <c r="S4060" s="1"/>
      <c r="AD4060" s="1"/>
      <c r="AE4060" s="1"/>
    </row>
    <row r="4061" spans="18:31" ht="75" customHeight="1">
      <c r="R4061" s="1"/>
      <c r="S4061" s="1"/>
      <c r="AD4061" s="1"/>
      <c r="AE4061" s="1"/>
    </row>
    <row r="4062" spans="18:31" ht="75" customHeight="1">
      <c r="R4062" s="1"/>
      <c r="S4062" s="1"/>
      <c r="AD4062" s="1"/>
      <c r="AE4062" s="1"/>
    </row>
    <row r="4063" spans="18:31" ht="75" customHeight="1">
      <c r="R4063" s="1"/>
      <c r="S4063" s="1"/>
      <c r="AD4063" s="1"/>
      <c r="AE4063" s="1"/>
    </row>
    <row r="4064" spans="18:31" ht="75" customHeight="1">
      <c r="R4064" s="1"/>
      <c r="S4064" s="1"/>
      <c r="AD4064" s="1"/>
      <c r="AE4064" s="1"/>
    </row>
    <row r="4065" spans="18:31" ht="75" customHeight="1">
      <c r="R4065" s="1"/>
      <c r="S4065" s="1"/>
      <c r="AD4065" s="1"/>
      <c r="AE4065" s="1"/>
    </row>
    <row r="4066" spans="18:31" ht="75" customHeight="1">
      <c r="R4066" s="1"/>
      <c r="S4066" s="1"/>
      <c r="AD4066" s="1"/>
      <c r="AE4066" s="1"/>
    </row>
    <row r="4067" spans="18:31" ht="75" customHeight="1">
      <c r="R4067" s="1"/>
      <c r="S4067" s="1"/>
      <c r="AD4067" s="1"/>
      <c r="AE4067" s="1"/>
    </row>
    <row r="4068" spans="18:31" ht="75" customHeight="1">
      <c r="R4068" s="1"/>
      <c r="S4068" s="1"/>
      <c r="AD4068" s="1"/>
      <c r="AE4068" s="1"/>
    </row>
    <row r="4069" spans="18:31" ht="75" customHeight="1">
      <c r="R4069" s="1"/>
      <c r="S4069" s="1"/>
      <c r="AD4069" s="1"/>
      <c r="AE4069" s="1"/>
    </row>
    <row r="4070" spans="18:31" ht="75" customHeight="1">
      <c r="R4070" s="1"/>
      <c r="S4070" s="1"/>
      <c r="AD4070" s="1"/>
      <c r="AE4070" s="1"/>
    </row>
    <row r="4071" spans="18:31" ht="75" customHeight="1">
      <c r="R4071" s="1"/>
      <c r="S4071" s="1"/>
      <c r="AD4071" s="1"/>
      <c r="AE4071" s="1"/>
    </row>
    <row r="4072" spans="18:31" ht="75" customHeight="1">
      <c r="R4072" s="1"/>
      <c r="S4072" s="1"/>
      <c r="AD4072" s="1"/>
      <c r="AE4072" s="1"/>
    </row>
    <row r="4073" spans="18:31" ht="75" customHeight="1">
      <c r="R4073" s="1"/>
      <c r="S4073" s="1"/>
      <c r="AD4073" s="1"/>
      <c r="AE4073" s="1"/>
    </row>
    <row r="4074" spans="18:31" ht="75" customHeight="1">
      <c r="R4074" s="1"/>
      <c r="S4074" s="1"/>
      <c r="AD4074" s="1"/>
      <c r="AE4074" s="1"/>
    </row>
    <row r="4075" spans="18:31" ht="75" customHeight="1">
      <c r="R4075" s="1"/>
      <c r="S4075" s="1"/>
      <c r="AD4075" s="1"/>
      <c r="AE4075" s="1"/>
    </row>
    <row r="4076" spans="18:31" ht="75" customHeight="1">
      <c r="R4076" s="1"/>
      <c r="S4076" s="1"/>
      <c r="AD4076" s="1"/>
      <c r="AE4076" s="1"/>
    </row>
    <row r="4077" spans="18:31" ht="75" customHeight="1">
      <c r="R4077" s="1"/>
      <c r="S4077" s="1"/>
      <c r="AD4077" s="1"/>
      <c r="AE4077" s="1"/>
    </row>
    <row r="4078" spans="18:31" ht="75" customHeight="1">
      <c r="R4078" s="1"/>
      <c r="S4078" s="1"/>
      <c r="AD4078" s="1"/>
      <c r="AE4078" s="1"/>
    </row>
    <row r="4079" spans="18:31" ht="75" customHeight="1">
      <c r="R4079" s="1"/>
      <c r="S4079" s="1"/>
      <c r="AD4079" s="1"/>
      <c r="AE4079" s="1"/>
    </row>
    <row r="4080" spans="18:31" ht="75" customHeight="1">
      <c r="R4080" s="1"/>
      <c r="S4080" s="1"/>
      <c r="AD4080" s="1"/>
      <c r="AE4080" s="1"/>
    </row>
    <row r="4081" spans="18:31" ht="75" customHeight="1">
      <c r="R4081" s="1"/>
      <c r="S4081" s="1"/>
      <c r="AD4081" s="1"/>
      <c r="AE4081" s="1"/>
    </row>
    <row r="4082" spans="18:31" ht="75" customHeight="1">
      <c r="R4082" s="1"/>
      <c r="S4082" s="1"/>
      <c r="AD4082" s="1"/>
      <c r="AE4082" s="1"/>
    </row>
    <row r="4083" spans="18:31" ht="75" customHeight="1">
      <c r="R4083" s="1"/>
      <c r="S4083" s="1"/>
      <c r="AD4083" s="1"/>
      <c r="AE4083" s="1"/>
    </row>
    <row r="4084" spans="18:31" ht="75" customHeight="1">
      <c r="R4084" s="1"/>
      <c r="S4084" s="1"/>
      <c r="AD4084" s="1"/>
      <c r="AE4084" s="1"/>
    </row>
    <row r="4085" spans="18:31" ht="75" customHeight="1">
      <c r="R4085" s="1"/>
      <c r="S4085" s="1"/>
      <c r="AD4085" s="1"/>
      <c r="AE4085" s="1"/>
    </row>
    <row r="4086" spans="18:31" ht="75" customHeight="1">
      <c r="R4086" s="1"/>
      <c r="S4086" s="1"/>
      <c r="AD4086" s="1"/>
      <c r="AE4086" s="1"/>
    </row>
    <row r="4087" spans="18:31" ht="75" customHeight="1">
      <c r="R4087" s="1"/>
      <c r="S4087" s="1"/>
      <c r="AD4087" s="1"/>
      <c r="AE4087" s="1"/>
    </row>
    <row r="4088" spans="18:31" ht="75" customHeight="1">
      <c r="R4088" s="1"/>
      <c r="S4088" s="1"/>
      <c r="AD4088" s="1"/>
      <c r="AE4088" s="1"/>
    </row>
    <row r="4089" spans="18:31" ht="75" customHeight="1">
      <c r="R4089" s="1"/>
      <c r="S4089" s="1"/>
      <c r="AD4089" s="1"/>
      <c r="AE4089" s="1"/>
    </row>
    <row r="4090" spans="18:31" ht="75" customHeight="1">
      <c r="R4090" s="1"/>
      <c r="S4090" s="1"/>
      <c r="AD4090" s="1"/>
      <c r="AE4090" s="1"/>
    </row>
    <row r="4091" spans="18:31" ht="75" customHeight="1">
      <c r="R4091" s="1"/>
      <c r="S4091" s="1"/>
      <c r="AD4091" s="1"/>
      <c r="AE4091" s="1"/>
    </row>
    <row r="4092" spans="18:31" ht="75" customHeight="1">
      <c r="R4092" s="1"/>
      <c r="S4092" s="1"/>
      <c r="AD4092" s="1"/>
      <c r="AE4092" s="1"/>
    </row>
    <row r="4093" spans="18:31" ht="75" customHeight="1">
      <c r="R4093" s="1"/>
      <c r="S4093" s="1"/>
      <c r="AD4093" s="1"/>
      <c r="AE4093" s="1"/>
    </row>
    <row r="4094" spans="18:31" ht="75" customHeight="1">
      <c r="R4094" s="1"/>
      <c r="S4094" s="1"/>
      <c r="AD4094" s="1"/>
      <c r="AE4094" s="1"/>
    </row>
    <row r="4095" spans="18:31" ht="75" customHeight="1">
      <c r="R4095" s="1"/>
      <c r="S4095" s="1"/>
      <c r="AD4095" s="1"/>
      <c r="AE4095" s="1"/>
    </row>
    <row r="4096" spans="18:31" ht="75" customHeight="1">
      <c r="R4096" s="1"/>
      <c r="S4096" s="1"/>
      <c r="AD4096" s="1"/>
      <c r="AE4096" s="1"/>
    </row>
    <row r="4097" spans="18:31" ht="75" customHeight="1">
      <c r="R4097" s="1"/>
      <c r="S4097" s="1"/>
      <c r="AD4097" s="1"/>
      <c r="AE4097" s="1"/>
    </row>
    <row r="4098" spans="18:31" ht="75" customHeight="1">
      <c r="R4098" s="1"/>
      <c r="S4098" s="1"/>
      <c r="AD4098" s="1"/>
      <c r="AE4098" s="1"/>
    </row>
    <row r="4099" spans="18:31" ht="75" customHeight="1">
      <c r="R4099" s="1"/>
      <c r="S4099" s="1"/>
      <c r="AD4099" s="1"/>
      <c r="AE4099" s="1"/>
    </row>
    <row r="4100" spans="18:31" ht="75" customHeight="1">
      <c r="R4100" s="1"/>
      <c r="S4100" s="1"/>
      <c r="AD4100" s="1"/>
      <c r="AE4100" s="1"/>
    </row>
    <row r="4101" spans="18:31" ht="75" customHeight="1">
      <c r="R4101" s="1"/>
      <c r="S4101" s="1"/>
      <c r="AD4101" s="1"/>
      <c r="AE4101" s="1"/>
    </row>
    <row r="4102" spans="18:31" ht="75" customHeight="1">
      <c r="R4102" s="1"/>
      <c r="S4102" s="1"/>
      <c r="AD4102" s="1"/>
      <c r="AE4102" s="1"/>
    </row>
    <row r="4103" spans="18:31" ht="75" customHeight="1">
      <c r="R4103" s="1"/>
      <c r="S4103" s="1"/>
      <c r="AD4103" s="1"/>
      <c r="AE4103" s="1"/>
    </row>
    <row r="4104" spans="18:31" ht="75" customHeight="1">
      <c r="R4104" s="1"/>
      <c r="S4104" s="1"/>
      <c r="AD4104" s="1"/>
      <c r="AE4104" s="1"/>
    </row>
    <row r="4105" spans="18:31" ht="75" customHeight="1">
      <c r="R4105" s="1"/>
      <c r="S4105" s="1"/>
      <c r="AD4105" s="1"/>
      <c r="AE4105" s="1"/>
    </row>
    <row r="4106" spans="18:31" ht="75" customHeight="1">
      <c r="R4106" s="1"/>
      <c r="S4106" s="1"/>
      <c r="AD4106" s="1"/>
      <c r="AE4106" s="1"/>
    </row>
    <row r="4107" spans="18:31" ht="75" customHeight="1">
      <c r="R4107" s="1"/>
      <c r="S4107" s="1"/>
      <c r="AD4107" s="1"/>
      <c r="AE4107" s="1"/>
    </row>
    <row r="4108" spans="18:31" ht="75" customHeight="1">
      <c r="R4108" s="1"/>
      <c r="S4108" s="1"/>
      <c r="AD4108" s="1"/>
      <c r="AE4108" s="1"/>
    </row>
    <row r="4109" spans="18:31" ht="75" customHeight="1">
      <c r="R4109" s="1"/>
      <c r="S4109" s="1"/>
      <c r="AD4109" s="1"/>
      <c r="AE4109" s="1"/>
    </row>
    <row r="4110" spans="18:31" ht="75" customHeight="1">
      <c r="R4110" s="1"/>
      <c r="S4110" s="1"/>
      <c r="AD4110" s="1"/>
      <c r="AE4110" s="1"/>
    </row>
    <row r="4111" spans="18:31" ht="75" customHeight="1">
      <c r="R4111" s="1"/>
      <c r="S4111" s="1"/>
      <c r="AD4111" s="1"/>
      <c r="AE4111" s="1"/>
    </row>
    <row r="4112" spans="18:31" ht="75" customHeight="1">
      <c r="R4112" s="1"/>
      <c r="S4112" s="1"/>
      <c r="AD4112" s="1"/>
      <c r="AE4112" s="1"/>
    </row>
    <row r="4113" spans="18:31" ht="75" customHeight="1">
      <c r="R4113" s="1"/>
      <c r="S4113" s="1"/>
      <c r="AD4113" s="1"/>
      <c r="AE4113" s="1"/>
    </row>
    <row r="4114" spans="18:31" ht="75" customHeight="1">
      <c r="R4114" s="1"/>
      <c r="S4114" s="1"/>
      <c r="AD4114" s="1"/>
      <c r="AE4114" s="1"/>
    </row>
    <row r="4115" spans="18:31" ht="75" customHeight="1">
      <c r="R4115" s="1"/>
      <c r="S4115" s="1"/>
      <c r="AD4115" s="1"/>
      <c r="AE4115" s="1"/>
    </row>
    <row r="4116" spans="18:31" ht="75" customHeight="1">
      <c r="R4116" s="1"/>
      <c r="S4116" s="1"/>
      <c r="AD4116" s="1"/>
      <c r="AE4116" s="1"/>
    </row>
    <row r="4117" spans="18:31" ht="75" customHeight="1">
      <c r="R4117" s="1"/>
      <c r="S4117" s="1"/>
      <c r="AD4117" s="1"/>
      <c r="AE4117" s="1"/>
    </row>
    <row r="4118" spans="18:31" ht="75" customHeight="1">
      <c r="R4118" s="1"/>
      <c r="S4118" s="1"/>
      <c r="AD4118" s="1"/>
      <c r="AE4118" s="1"/>
    </row>
    <row r="4119" spans="18:31" ht="75" customHeight="1">
      <c r="R4119" s="1"/>
      <c r="S4119" s="1"/>
      <c r="AD4119" s="1"/>
      <c r="AE4119" s="1"/>
    </row>
    <row r="4120" spans="18:31" ht="75" customHeight="1">
      <c r="R4120" s="1"/>
      <c r="S4120" s="1"/>
      <c r="AD4120" s="1"/>
      <c r="AE4120" s="1"/>
    </row>
    <row r="4121" spans="18:31" ht="75" customHeight="1">
      <c r="R4121" s="1"/>
      <c r="S4121" s="1"/>
      <c r="AD4121" s="1"/>
      <c r="AE4121" s="1"/>
    </row>
    <row r="4122" spans="18:31" ht="75" customHeight="1">
      <c r="R4122" s="1"/>
      <c r="S4122" s="1"/>
      <c r="AD4122" s="1"/>
      <c r="AE4122" s="1"/>
    </row>
    <row r="4123" spans="18:31" ht="75" customHeight="1">
      <c r="R4123" s="1"/>
      <c r="S4123" s="1"/>
      <c r="AD4123" s="1"/>
      <c r="AE4123" s="1"/>
    </row>
    <row r="4124" spans="18:31" ht="75" customHeight="1">
      <c r="R4124" s="1"/>
      <c r="S4124" s="1"/>
      <c r="AD4124" s="1"/>
      <c r="AE4124" s="1"/>
    </row>
    <row r="4125" spans="18:31" ht="75" customHeight="1">
      <c r="R4125" s="1"/>
      <c r="S4125" s="1"/>
      <c r="AD4125" s="1"/>
      <c r="AE4125" s="1"/>
    </row>
    <row r="4126" spans="18:31" ht="75" customHeight="1">
      <c r="R4126" s="1"/>
      <c r="S4126" s="1"/>
      <c r="AD4126" s="1"/>
      <c r="AE4126" s="1"/>
    </row>
    <row r="4127" spans="18:31" ht="75" customHeight="1">
      <c r="R4127" s="1"/>
      <c r="S4127" s="1"/>
      <c r="AD4127" s="1"/>
      <c r="AE4127" s="1"/>
    </row>
    <row r="4128" spans="18:31" ht="75" customHeight="1">
      <c r="R4128" s="1"/>
      <c r="S4128" s="1"/>
      <c r="AD4128" s="1"/>
      <c r="AE4128" s="1"/>
    </row>
    <row r="4129" spans="18:31" ht="75" customHeight="1">
      <c r="R4129" s="1"/>
      <c r="S4129" s="1"/>
      <c r="AD4129" s="1"/>
      <c r="AE4129" s="1"/>
    </row>
    <row r="4130" spans="18:31" ht="75" customHeight="1">
      <c r="R4130" s="1"/>
      <c r="S4130" s="1"/>
      <c r="AD4130" s="1"/>
      <c r="AE4130" s="1"/>
    </row>
    <row r="4131" spans="18:31" ht="75" customHeight="1">
      <c r="R4131" s="1"/>
      <c r="S4131" s="1"/>
      <c r="AD4131" s="1"/>
      <c r="AE4131" s="1"/>
    </row>
    <row r="4132" spans="18:31" ht="75" customHeight="1">
      <c r="R4132" s="1"/>
      <c r="S4132" s="1"/>
      <c r="AD4132" s="1"/>
      <c r="AE4132" s="1"/>
    </row>
    <row r="4133" spans="18:31" ht="75" customHeight="1">
      <c r="R4133" s="1"/>
      <c r="S4133" s="1"/>
      <c r="AD4133" s="1"/>
      <c r="AE4133" s="1"/>
    </row>
    <row r="4134" spans="18:31" ht="75" customHeight="1">
      <c r="R4134" s="1"/>
      <c r="S4134" s="1"/>
      <c r="AD4134" s="1"/>
      <c r="AE4134" s="1"/>
    </row>
    <row r="4135" spans="18:31" ht="75" customHeight="1">
      <c r="R4135" s="1"/>
      <c r="S4135" s="1"/>
      <c r="AD4135" s="1"/>
      <c r="AE4135" s="1"/>
    </row>
    <row r="4136" spans="18:31" ht="75" customHeight="1">
      <c r="R4136" s="1"/>
      <c r="S4136" s="1"/>
      <c r="AD4136" s="1"/>
      <c r="AE4136" s="1"/>
    </row>
    <row r="4137" spans="18:31" ht="75" customHeight="1">
      <c r="R4137" s="1"/>
      <c r="S4137" s="1"/>
      <c r="AD4137" s="1"/>
      <c r="AE4137" s="1"/>
    </row>
    <row r="4138" spans="18:31" ht="75" customHeight="1">
      <c r="R4138" s="1"/>
      <c r="S4138" s="1"/>
      <c r="AD4138" s="1"/>
      <c r="AE4138" s="1"/>
    </row>
    <row r="4139" spans="18:31" ht="75" customHeight="1">
      <c r="R4139" s="1"/>
      <c r="S4139" s="1"/>
      <c r="AD4139" s="1"/>
      <c r="AE4139" s="1"/>
    </row>
    <row r="4140" spans="18:31" ht="75" customHeight="1">
      <c r="R4140" s="1"/>
      <c r="S4140" s="1"/>
      <c r="AD4140" s="1"/>
      <c r="AE4140" s="1"/>
    </row>
    <row r="4141" spans="18:31" ht="75" customHeight="1">
      <c r="R4141" s="1"/>
      <c r="S4141" s="1"/>
      <c r="AD4141" s="1"/>
      <c r="AE4141" s="1"/>
    </row>
    <row r="4142" spans="18:31" ht="75" customHeight="1">
      <c r="R4142" s="1"/>
      <c r="S4142" s="1"/>
      <c r="AD4142" s="1"/>
      <c r="AE4142" s="1"/>
    </row>
    <row r="4143" spans="18:31" ht="75" customHeight="1">
      <c r="R4143" s="1"/>
      <c r="S4143" s="1"/>
      <c r="AD4143" s="1"/>
      <c r="AE4143" s="1"/>
    </row>
    <row r="4144" spans="18:31" ht="75" customHeight="1">
      <c r="R4144" s="1"/>
      <c r="S4144" s="1"/>
      <c r="AD4144" s="1"/>
      <c r="AE4144" s="1"/>
    </row>
    <row r="4145" spans="18:31" ht="75" customHeight="1">
      <c r="R4145" s="1"/>
      <c r="S4145" s="1"/>
      <c r="AD4145" s="1"/>
      <c r="AE4145" s="1"/>
    </row>
    <row r="4146" spans="18:31" ht="75" customHeight="1">
      <c r="R4146" s="1"/>
      <c r="S4146" s="1"/>
      <c r="AD4146" s="1"/>
      <c r="AE4146" s="1"/>
    </row>
    <row r="4147" spans="18:31" ht="75" customHeight="1">
      <c r="R4147" s="1"/>
      <c r="S4147" s="1"/>
      <c r="AD4147" s="1"/>
      <c r="AE4147" s="1"/>
    </row>
    <row r="4148" spans="18:31" ht="75" customHeight="1">
      <c r="R4148" s="1"/>
      <c r="S4148" s="1"/>
      <c r="AD4148" s="1"/>
      <c r="AE4148" s="1"/>
    </row>
    <row r="4149" spans="18:31" ht="75" customHeight="1">
      <c r="R4149" s="1"/>
      <c r="S4149" s="1"/>
      <c r="AD4149" s="1"/>
      <c r="AE4149" s="1"/>
    </row>
    <row r="4150" spans="18:31" ht="75" customHeight="1">
      <c r="R4150" s="1"/>
      <c r="S4150" s="1"/>
      <c r="AD4150" s="1"/>
      <c r="AE4150" s="1"/>
    </row>
    <row r="4151" spans="18:31" ht="75" customHeight="1">
      <c r="R4151" s="1"/>
      <c r="S4151" s="1"/>
      <c r="AD4151" s="1"/>
      <c r="AE4151" s="1"/>
    </row>
    <row r="4152" spans="18:31" ht="75" customHeight="1">
      <c r="R4152" s="1"/>
      <c r="S4152" s="1"/>
      <c r="AD4152" s="1"/>
      <c r="AE4152" s="1"/>
    </row>
    <row r="4153" spans="18:31" ht="75" customHeight="1">
      <c r="R4153" s="1"/>
      <c r="S4153" s="1"/>
      <c r="AD4153" s="1"/>
      <c r="AE4153" s="1"/>
    </row>
    <row r="4154" spans="18:31" ht="75" customHeight="1">
      <c r="R4154" s="1"/>
      <c r="S4154" s="1"/>
      <c r="AD4154" s="1"/>
      <c r="AE4154" s="1"/>
    </row>
    <row r="4155" spans="18:31" ht="75" customHeight="1">
      <c r="R4155" s="1"/>
      <c r="S4155" s="1"/>
      <c r="AD4155" s="1"/>
      <c r="AE4155" s="1"/>
    </row>
    <row r="4156" spans="18:31" ht="75" customHeight="1">
      <c r="R4156" s="1"/>
      <c r="S4156" s="1"/>
      <c r="AD4156" s="1"/>
      <c r="AE4156" s="1"/>
    </row>
    <row r="4157" spans="18:31" ht="75" customHeight="1">
      <c r="R4157" s="1"/>
      <c r="S4157" s="1"/>
      <c r="AD4157" s="1"/>
      <c r="AE4157" s="1"/>
    </row>
    <row r="4158" spans="18:31" ht="75" customHeight="1">
      <c r="R4158" s="1"/>
      <c r="S4158" s="1"/>
      <c r="AD4158" s="1"/>
      <c r="AE4158" s="1"/>
    </row>
    <row r="4159" spans="18:31" ht="75" customHeight="1">
      <c r="R4159" s="1"/>
      <c r="S4159" s="1"/>
      <c r="AD4159" s="1"/>
      <c r="AE4159" s="1"/>
    </row>
    <row r="4160" spans="18:31" ht="75" customHeight="1">
      <c r="R4160" s="1"/>
      <c r="S4160" s="1"/>
      <c r="AD4160" s="1"/>
      <c r="AE4160" s="1"/>
    </row>
    <row r="4161" spans="18:31" ht="75" customHeight="1">
      <c r="R4161" s="1"/>
      <c r="S4161" s="1"/>
      <c r="AD4161" s="1"/>
      <c r="AE4161" s="1"/>
    </row>
    <row r="4162" spans="18:31" ht="75" customHeight="1">
      <c r="R4162" s="1"/>
      <c r="S4162" s="1"/>
      <c r="AD4162" s="1"/>
      <c r="AE4162" s="1"/>
    </row>
    <row r="4163" spans="18:31" ht="75" customHeight="1">
      <c r="R4163" s="1"/>
      <c r="S4163" s="1"/>
      <c r="AD4163" s="1"/>
      <c r="AE4163" s="1"/>
    </row>
    <row r="4164" spans="18:31" ht="75" customHeight="1">
      <c r="R4164" s="1"/>
      <c r="S4164" s="1"/>
      <c r="AD4164" s="1"/>
      <c r="AE4164" s="1"/>
    </row>
    <row r="4165" spans="18:31" ht="75" customHeight="1">
      <c r="R4165" s="1"/>
      <c r="S4165" s="1"/>
      <c r="AD4165" s="1"/>
      <c r="AE4165" s="1"/>
    </row>
    <row r="4166" spans="18:31" ht="75" customHeight="1">
      <c r="R4166" s="1"/>
      <c r="S4166" s="1"/>
      <c r="AD4166" s="1"/>
      <c r="AE4166" s="1"/>
    </row>
    <row r="4167" spans="18:31" ht="75" customHeight="1">
      <c r="R4167" s="1"/>
      <c r="S4167" s="1"/>
      <c r="AD4167" s="1"/>
      <c r="AE4167" s="1"/>
    </row>
    <row r="4168" spans="18:31" ht="75" customHeight="1">
      <c r="R4168" s="1"/>
      <c r="S4168" s="1"/>
      <c r="AD4168" s="1"/>
      <c r="AE4168" s="1"/>
    </row>
    <row r="4169" spans="18:31" ht="75" customHeight="1">
      <c r="R4169" s="1"/>
      <c r="S4169" s="1"/>
      <c r="AD4169" s="1"/>
      <c r="AE4169" s="1"/>
    </row>
    <row r="4170" spans="18:31" ht="75" customHeight="1">
      <c r="R4170" s="1"/>
      <c r="S4170" s="1"/>
      <c r="AD4170" s="1"/>
      <c r="AE4170" s="1"/>
    </row>
    <row r="4171" spans="18:31" ht="75" customHeight="1">
      <c r="R4171" s="1"/>
      <c r="S4171" s="1"/>
      <c r="AD4171" s="1"/>
      <c r="AE4171" s="1"/>
    </row>
    <row r="4172" spans="18:31" ht="75" customHeight="1">
      <c r="R4172" s="1"/>
      <c r="S4172" s="1"/>
      <c r="AD4172" s="1"/>
      <c r="AE4172" s="1"/>
    </row>
    <row r="4173" spans="18:31" ht="75" customHeight="1">
      <c r="R4173" s="1"/>
      <c r="S4173" s="1"/>
      <c r="AD4173" s="1"/>
      <c r="AE4173" s="1"/>
    </row>
    <row r="4174" spans="18:31" ht="75" customHeight="1">
      <c r="R4174" s="1"/>
      <c r="S4174" s="1"/>
      <c r="AD4174" s="1"/>
      <c r="AE4174" s="1"/>
    </row>
    <row r="4175" spans="18:31" ht="75" customHeight="1">
      <c r="R4175" s="1"/>
      <c r="S4175" s="1"/>
      <c r="AD4175" s="1"/>
      <c r="AE4175" s="1"/>
    </row>
    <row r="4176" spans="18:31" ht="75" customHeight="1">
      <c r="R4176" s="1"/>
      <c r="S4176" s="1"/>
      <c r="AD4176" s="1"/>
      <c r="AE4176" s="1"/>
    </row>
    <row r="4177" spans="18:31" ht="75" customHeight="1">
      <c r="R4177" s="1"/>
      <c r="S4177" s="1"/>
      <c r="AD4177" s="1"/>
      <c r="AE4177" s="1"/>
    </row>
    <row r="4178" spans="18:31" ht="75" customHeight="1">
      <c r="R4178" s="1"/>
      <c r="S4178" s="1"/>
      <c r="AD4178" s="1"/>
      <c r="AE4178" s="1"/>
    </row>
    <row r="4179" spans="18:31" ht="75" customHeight="1">
      <c r="R4179" s="1"/>
      <c r="S4179" s="1"/>
      <c r="AD4179" s="1"/>
      <c r="AE4179" s="1"/>
    </row>
    <row r="4180" spans="18:31" ht="75" customHeight="1">
      <c r="R4180" s="1"/>
      <c r="S4180" s="1"/>
      <c r="AD4180" s="1"/>
      <c r="AE4180" s="1"/>
    </row>
    <row r="4181" spans="18:31" ht="75" customHeight="1">
      <c r="R4181" s="1"/>
      <c r="S4181" s="1"/>
      <c r="AD4181" s="1"/>
      <c r="AE4181" s="1"/>
    </row>
    <row r="4182" spans="18:31" ht="75" customHeight="1">
      <c r="R4182" s="1"/>
      <c r="S4182" s="1"/>
      <c r="AD4182" s="1"/>
      <c r="AE4182" s="1"/>
    </row>
    <row r="4183" spans="18:31" ht="75" customHeight="1">
      <c r="R4183" s="1"/>
      <c r="S4183" s="1"/>
      <c r="AD4183" s="1"/>
      <c r="AE4183" s="1"/>
    </row>
    <row r="4184" spans="18:31" ht="75" customHeight="1">
      <c r="R4184" s="1"/>
      <c r="S4184" s="1"/>
      <c r="AD4184" s="1"/>
      <c r="AE4184" s="1"/>
    </row>
    <row r="4185" spans="18:31" ht="75" customHeight="1">
      <c r="R4185" s="1"/>
      <c r="S4185" s="1"/>
      <c r="AD4185" s="1"/>
      <c r="AE4185" s="1"/>
    </row>
    <row r="4186" spans="18:31" ht="75" customHeight="1">
      <c r="R4186" s="1"/>
      <c r="S4186" s="1"/>
      <c r="AD4186" s="1"/>
      <c r="AE4186" s="1"/>
    </row>
    <row r="4187" spans="18:31" ht="75" customHeight="1">
      <c r="R4187" s="1"/>
      <c r="S4187" s="1"/>
      <c r="AD4187" s="1"/>
      <c r="AE4187" s="1"/>
    </row>
    <row r="4188" spans="18:31" ht="75" customHeight="1">
      <c r="R4188" s="1"/>
      <c r="S4188" s="1"/>
      <c r="AD4188" s="1"/>
      <c r="AE4188" s="1"/>
    </row>
    <row r="4189" spans="18:31" ht="75" customHeight="1">
      <c r="R4189" s="1"/>
      <c r="S4189" s="1"/>
      <c r="AD4189" s="1"/>
      <c r="AE4189" s="1"/>
    </row>
    <row r="4190" spans="18:31" ht="75" customHeight="1">
      <c r="R4190" s="1"/>
      <c r="S4190" s="1"/>
      <c r="AD4190" s="1"/>
      <c r="AE4190" s="1"/>
    </row>
    <row r="4191" spans="18:31" ht="75" customHeight="1">
      <c r="R4191" s="1"/>
      <c r="S4191" s="1"/>
      <c r="AD4191" s="1"/>
      <c r="AE4191" s="1"/>
    </row>
    <row r="4192" spans="18:31" ht="75" customHeight="1">
      <c r="R4192" s="1"/>
      <c r="S4192" s="1"/>
      <c r="AD4192" s="1"/>
      <c r="AE4192" s="1"/>
    </row>
    <row r="4193" spans="18:31" ht="75" customHeight="1">
      <c r="R4193" s="1"/>
      <c r="S4193" s="1"/>
      <c r="AD4193" s="1"/>
      <c r="AE4193" s="1"/>
    </row>
    <row r="4194" spans="18:31" ht="75" customHeight="1">
      <c r="R4194" s="1"/>
      <c r="S4194" s="1"/>
      <c r="AD4194" s="1"/>
      <c r="AE4194" s="1"/>
    </row>
    <row r="4195" spans="18:31" ht="75" customHeight="1">
      <c r="R4195" s="1"/>
      <c r="S4195" s="1"/>
      <c r="AD4195" s="1"/>
      <c r="AE4195" s="1"/>
    </row>
    <row r="4196" spans="18:31" ht="75" customHeight="1">
      <c r="R4196" s="1"/>
      <c r="S4196" s="1"/>
      <c r="AD4196" s="1"/>
      <c r="AE4196" s="1"/>
    </row>
    <row r="4197" spans="18:31" ht="75" customHeight="1">
      <c r="R4197" s="1"/>
      <c r="S4197" s="1"/>
      <c r="AD4197" s="1"/>
      <c r="AE4197" s="1"/>
    </row>
    <row r="4198" spans="18:31" ht="75" customHeight="1">
      <c r="R4198" s="1"/>
      <c r="S4198" s="1"/>
      <c r="AD4198" s="1"/>
      <c r="AE4198" s="1"/>
    </row>
    <row r="4199" spans="18:31" ht="75" customHeight="1">
      <c r="R4199" s="1"/>
      <c r="S4199" s="1"/>
      <c r="AD4199" s="1"/>
      <c r="AE4199" s="1"/>
    </row>
    <row r="4200" spans="18:31" ht="75" customHeight="1">
      <c r="R4200" s="1"/>
      <c r="S4200" s="1"/>
      <c r="AD4200" s="1"/>
      <c r="AE4200" s="1"/>
    </row>
    <row r="4201" spans="18:31" ht="75" customHeight="1">
      <c r="R4201" s="1"/>
      <c r="S4201" s="1"/>
      <c r="AD4201" s="1"/>
      <c r="AE4201" s="1"/>
    </row>
    <row r="4202" spans="18:31" ht="75" customHeight="1">
      <c r="R4202" s="1"/>
      <c r="S4202" s="1"/>
      <c r="AD4202" s="1"/>
      <c r="AE4202" s="1"/>
    </row>
    <row r="4203" spans="18:31" ht="75" customHeight="1">
      <c r="R4203" s="1"/>
      <c r="S4203" s="1"/>
      <c r="AD4203" s="1"/>
      <c r="AE4203" s="1"/>
    </row>
    <row r="4204" spans="18:31" ht="75" customHeight="1">
      <c r="R4204" s="1"/>
      <c r="S4204" s="1"/>
      <c r="AD4204" s="1"/>
      <c r="AE4204" s="1"/>
    </row>
    <row r="4205" spans="18:31" ht="75" customHeight="1">
      <c r="R4205" s="1"/>
      <c r="S4205" s="1"/>
      <c r="AD4205" s="1"/>
      <c r="AE4205" s="1"/>
    </row>
    <row r="4206" spans="18:31" ht="75" customHeight="1">
      <c r="R4206" s="1"/>
      <c r="S4206" s="1"/>
      <c r="AD4206" s="1"/>
      <c r="AE4206" s="1"/>
    </row>
    <row r="4207" spans="18:31" ht="75" customHeight="1">
      <c r="R4207" s="1"/>
      <c r="S4207" s="1"/>
      <c r="AD4207" s="1"/>
      <c r="AE4207" s="1"/>
    </row>
    <row r="4208" spans="18:31" ht="75" customHeight="1">
      <c r="R4208" s="1"/>
      <c r="S4208" s="1"/>
      <c r="AD4208" s="1"/>
      <c r="AE4208" s="1"/>
    </row>
    <row r="4209" spans="18:31" ht="75" customHeight="1">
      <c r="R4209" s="1"/>
      <c r="S4209" s="1"/>
      <c r="AD4209" s="1"/>
      <c r="AE4209" s="1"/>
    </row>
    <row r="4210" spans="18:31" ht="75" customHeight="1">
      <c r="R4210" s="1"/>
      <c r="S4210" s="1"/>
      <c r="AD4210" s="1"/>
      <c r="AE4210" s="1"/>
    </row>
    <row r="4211" spans="18:31" ht="75" customHeight="1">
      <c r="R4211" s="1"/>
      <c r="S4211" s="1"/>
      <c r="AD4211" s="1"/>
      <c r="AE4211" s="1"/>
    </row>
    <row r="4212" spans="18:31" ht="75" customHeight="1">
      <c r="R4212" s="1"/>
      <c r="S4212" s="1"/>
      <c r="AD4212" s="1"/>
      <c r="AE4212" s="1"/>
    </row>
    <row r="4213" spans="18:31" ht="75" customHeight="1">
      <c r="R4213" s="1"/>
      <c r="S4213" s="1"/>
      <c r="AD4213" s="1"/>
      <c r="AE4213" s="1"/>
    </row>
    <row r="4214" spans="18:31" ht="75" customHeight="1">
      <c r="R4214" s="1"/>
      <c r="S4214" s="1"/>
      <c r="AD4214" s="1"/>
      <c r="AE4214" s="1"/>
    </row>
    <row r="4215" spans="18:31" ht="75" customHeight="1">
      <c r="R4215" s="1"/>
      <c r="S4215" s="1"/>
      <c r="AD4215" s="1"/>
      <c r="AE4215" s="1"/>
    </row>
    <row r="4216" spans="18:31" ht="75" customHeight="1">
      <c r="R4216" s="1"/>
      <c r="S4216" s="1"/>
      <c r="AD4216" s="1"/>
      <c r="AE4216" s="1"/>
    </row>
    <row r="4217" spans="18:31" ht="75" customHeight="1">
      <c r="R4217" s="1"/>
      <c r="S4217" s="1"/>
      <c r="AD4217" s="1"/>
      <c r="AE4217" s="1"/>
    </row>
    <row r="4218" spans="18:31" ht="75" customHeight="1">
      <c r="R4218" s="1"/>
      <c r="S4218" s="1"/>
      <c r="AD4218" s="1"/>
      <c r="AE4218" s="1"/>
    </row>
    <row r="4219" spans="18:31" ht="75" customHeight="1">
      <c r="R4219" s="1"/>
      <c r="S4219" s="1"/>
      <c r="AD4219" s="1"/>
      <c r="AE4219" s="1"/>
    </row>
    <row r="4220" spans="18:31" ht="75" customHeight="1">
      <c r="R4220" s="1"/>
      <c r="S4220" s="1"/>
      <c r="AD4220" s="1"/>
      <c r="AE4220" s="1"/>
    </row>
    <row r="4221" spans="18:31" ht="75" customHeight="1">
      <c r="R4221" s="1"/>
      <c r="S4221" s="1"/>
      <c r="AD4221" s="1"/>
      <c r="AE4221" s="1"/>
    </row>
    <row r="4222" spans="18:31" ht="75" customHeight="1">
      <c r="R4222" s="1"/>
      <c r="S4222" s="1"/>
      <c r="AD4222" s="1"/>
      <c r="AE4222" s="1"/>
    </row>
    <row r="4223" spans="18:31" ht="75" customHeight="1">
      <c r="R4223" s="1"/>
      <c r="S4223" s="1"/>
      <c r="AD4223" s="1"/>
      <c r="AE4223" s="1"/>
    </row>
    <row r="4224" spans="18:31" ht="75" customHeight="1">
      <c r="R4224" s="1"/>
      <c r="S4224" s="1"/>
      <c r="AD4224" s="1"/>
      <c r="AE4224" s="1"/>
    </row>
    <row r="4225" spans="18:31" ht="75" customHeight="1">
      <c r="R4225" s="1"/>
      <c r="S4225" s="1"/>
      <c r="AD4225" s="1"/>
      <c r="AE4225" s="1"/>
    </row>
    <row r="4226" spans="18:31" ht="75" customHeight="1">
      <c r="R4226" s="1"/>
      <c r="S4226" s="1"/>
      <c r="AD4226" s="1"/>
      <c r="AE4226" s="1"/>
    </row>
    <row r="4227" spans="18:31" ht="75" customHeight="1">
      <c r="R4227" s="1"/>
      <c r="S4227" s="1"/>
      <c r="AD4227" s="1"/>
      <c r="AE4227" s="1"/>
    </row>
    <row r="4228" spans="18:31" ht="75" customHeight="1">
      <c r="R4228" s="1"/>
      <c r="S4228" s="1"/>
      <c r="AD4228" s="1"/>
      <c r="AE4228" s="1"/>
    </row>
    <row r="4229" spans="18:31" ht="75" customHeight="1">
      <c r="R4229" s="1"/>
      <c r="S4229" s="1"/>
      <c r="AD4229" s="1"/>
      <c r="AE4229" s="1"/>
    </row>
    <row r="4230" spans="18:31" ht="75" customHeight="1">
      <c r="R4230" s="1"/>
      <c r="S4230" s="1"/>
      <c r="AD4230" s="1"/>
      <c r="AE4230" s="1"/>
    </row>
    <row r="4231" spans="18:31" ht="75" customHeight="1">
      <c r="R4231" s="1"/>
      <c r="S4231" s="1"/>
      <c r="AD4231" s="1"/>
      <c r="AE4231" s="1"/>
    </row>
    <row r="4232" spans="18:31" ht="75" customHeight="1">
      <c r="R4232" s="1"/>
      <c r="S4232" s="1"/>
      <c r="AD4232" s="1"/>
      <c r="AE4232" s="1"/>
    </row>
    <row r="4233" spans="18:31" ht="75" customHeight="1">
      <c r="R4233" s="1"/>
      <c r="S4233" s="1"/>
      <c r="AD4233" s="1"/>
      <c r="AE4233" s="1"/>
    </row>
    <row r="4234" spans="18:31" ht="75" customHeight="1">
      <c r="R4234" s="1"/>
      <c r="S4234" s="1"/>
      <c r="AD4234" s="1"/>
      <c r="AE4234" s="1"/>
    </row>
    <row r="4235" spans="18:31" ht="75" customHeight="1">
      <c r="R4235" s="1"/>
      <c r="S4235" s="1"/>
      <c r="AD4235" s="1"/>
      <c r="AE4235" s="1"/>
    </row>
    <row r="4236" spans="18:31" ht="75" customHeight="1">
      <c r="R4236" s="1"/>
      <c r="S4236" s="1"/>
      <c r="AD4236" s="1"/>
      <c r="AE4236" s="1"/>
    </row>
    <row r="4237" spans="18:31" ht="75" customHeight="1">
      <c r="R4237" s="1"/>
      <c r="S4237" s="1"/>
      <c r="AD4237" s="1"/>
      <c r="AE4237" s="1"/>
    </row>
    <row r="4238" spans="18:31" ht="75" customHeight="1">
      <c r="R4238" s="1"/>
      <c r="S4238" s="1"/>
      <c r="AD4238" s="1"/>
      <c r="AE4238" s="1"/>
    </row>
    <row r="4239" spans="18:31" ht="75" customHeight="1">
      <c r="R4239" s="1"/>
      <c r="S4239" s="1"/>
      <c r="AD4239" s="1"/>
      <c r="AE4239" s="1"/>
    </row>
    <row r="4240" spans="18:31" ht="75" customHeight="1">
      <c r="R4240" s="1"/>
      <c r="S4240" s="1"/>
      <c r="AD4240" s="1"/>
      <c r="AE4240" s="1"/>
    </row>
    <row r="4241" spans="18:31" ht="75" customHeight="1">
      <c r="R4241" s="1"/>
      <c r="S4241" s="1"/>
      <c r="AD4241" s="1"/>
      <c r="AE4241" s="1"/>
    </row>
    <row r="4242" spans="18:31" ht="75" customHeight="1">
      <c r="R4242" s="1"/>
      <c r="S4242" s="1"/>
      <c r="AD4242" s="1"/>
      <c r="AE4242" s="1"/>
    </row>
    <row r="4243" spans="18:31" ht="75" customHeight="1">
      <c r="R4243" s="1"/>
      <c r="S4243" s="1"/>
      <c r="AD4243" s="1"/>
      <c r="AE4243" s="1"/>
    </row>
    <row r="4244" spans="18:31" ht="75" customHeight="1">
      <c r="R4244" s="1"/>
      <c r="S4244" s="1"/>
      <c r="AD4244" s="1"/>
      <c r="AE4244" s="1"/>
    </row>
    <row r="4245" spans="18:31" ht="75" customHeight="1">
      <c r="R4245" s="1"/>
      <c r="S4245" s="1"/>
      <c r="AD4245" s="1"/>
      <c r="AE4245" s="1"/>
    </row>
    <row r="4246" spans="18:31" ht="75" customHeight="1">
      <c r="R4246" s="1"/>
      <c r="S4246" s="1"/>
      <c r="AD4246" s="1"/>
      <c r="AE4246" s="1"/>
    </row>
    <row r="4247" spans="18:31" ht="75" customHeight="1">
      <c r="R4247" s="1"/>
      <c r="S4247" s="1"/>
      <c r="AD4247" s="1"/>
      <c r="AE4247" s="1"/>
    </row>
    <row r="4248" spans="18:31" ht="75" customHeight="1">
      <c r="R4248" s="1"/>
      <c r="S4248" s="1"/>
      <c r="AD4248" s="1"/>
      <c r="AE4248" s="1"/>
    </row>
    <row r="4249" spans="18:31" ht="75" customHeight="1">
      <c r="R4249" s="1"/>
      <c r="S4249" s="1"/>
      <c r="AD4249" s="1"/>
      <c r="AE4249" s="1"/>
    </row>
    <row r="4250" spans="18:31" ht="75" customHeight="1">
      <c r="R4250" s="1"/>
      <c r="S4250" s="1"/>
      <c r="AD4250" s="1"/>
      <c r="AE4250" s="1"/>
    </row>
    <row r="4251" spans="18:31" ht="75" customHeight="1">
      <c r="R4251" s="1"/>
      <c r="S4251" s="1"/>
      <c r="AD4251" s="1"/>
      <c r="AE4251" s="1"/>
    </row>
    <row r="4252" spans="18:31" ht="75" customHeight="1">
      <c r="R4252" s="1"/>
      <c r="S4252" s="1"/>
      <c r="AD4252" s="1"/>
      <c r="AE4252" s="1"/>
    </row>
    <row r="4253" spans="18:31" ht="75" customHeight="1">
      <c r="R4253" s="1"/>
      <c r="S4253" s="1"/>
      <c r="AD4253" s="1"/>
      <c r="AE4253" s="1"/>
    </row>
    <row r="4254" spans="18:31" ht="75" customHeight="1">
      <c r="R4254" s="1"/>
      <c r="S4254" s="1"/>
      <c r="AD4254" s="1"/>
      <c r="AE4254" s="1"/>
    </row>
    <row r="4255" spans="18:31" ht="75" customHeight="1">
      <c r="R4255" s="1"/>
      <c r="S4255" s="1"/>
      <c r="AD4255" s="1"/>
      <c r="AE4255" s="1"/>
    </row>
    <row r="4256" spans="18:31" ht="75" customHeight="1">
      <c r="R4256" s="1"/>
      <c r="S4256" s="1"/>
      <c r="AD4256" s="1"/>
      <c r="AE4256" s="1"/>
    </row>
    <row r="4257" spans="18:31" ht="75" customHeight="1">
      <c r="R4257" s="1"/>
      <c r="S4257" s="1"/>
      <c r="AD4257" s="1"/>
      <c r="AE4257" s="1"/>
    </row>
    <row r="4258" spans="18:31" ht="75" customHeight="1">
      <c r="R4258" s="1"/>
      <c r="S4258" s="1"/>
      <c r="AD4258" s="1"/>
      <c r="AE4258" s="1"/>
    </row>
    <row r="4259" spans="18:31" ht="75" customHeight="1">
      <c r="R4259" s="1"/>
      <c r="S4259" s="1"/>
      <c r="AD4259" s="1"/>
      <c r="AE4259" s="1"/>
    </row>
    <row r="4260" spans="18:31" ht="75" customHeight="1">
      <c r="R4260" s="1"/>
      <c r="S4260" s="1"/>
      <c r="AD4260" s="1"/>
      <c r="AE4260" s="1"/>
    </row>
    <row r="4261" spans="18:31" ht="75" customHeight="1">
      <c r="R4261" s="1"/>
      <c r="S4261" s="1"/>
      <c r="AD4261" s="1"/>
      <c r="AE4261" s="1"/>
    </row>
    <row r="4262" spans="18:31" ht="75" customHeight="1">
      <c r="R4262" s="1"/>
      <c r="S4262" s="1"/>
      <c r="AD4262" s="1"/>
      <c r="AE4262" s="1"/>
    </row>
    <row r="4263" spans="18:31" ht="75" customHeight="1">
      <c r="R4263" s="1"/>
      <c r="S4263" s="1"/>
      <c r="AD4263" s="1"/>
      <c r="AE4263" s="1"/>
    </row>
    <row r="4264" spans="18:31" ht="75" customHeight="1">
      <c r="R4264" s="1"/>
      <c r="S4264" s="1"/>
      <c r="AD4264" s="1"/>
      <c r="AE4264" s="1"/>
    </row>
    <row r="4265" spans="18:31" ht="75" customHeight="1">
      <c r="R4265" s="1"/>
      <c r="S4265" s="1"/>
      <c r="AD4265" s="1"/>
      <c r="AE4265" s="1"/>
    </row>
    <row r="4266" spans="18:31" ht="75" customHeight="1">
      <c r="R4266" s="1"/>
      <c r="S4266" s="1"/>
      <c r="AD4266" s="1"/>
      <c r="AE4266" s="1"/>
    </row>
    <row r="4267" spans="18:31" ht="75" customHeight="1">
      <c r="R4267" s="1"/>
      <c r="S4267" s="1"/>
      <c r="AD4267" s="1"/>
      <c r="AE4267" s="1"/>
    </row>
    <row r="4268" spans="18:31" ht="75" customHeight="1">
      <c r="R4268" s="1"/>
      <c r="S4268" s="1"/>
      <c r="AD4268" s="1"/>
      <c r="AE4268" s="1"/>
    </row>
    <row r="4269" spans="18:31" ht="75" customHeight="1">
      <c r="R4269" s="1"/>
      <c r="S4269" s="1"/>
      <c r="AD4269" s="1"/>
      <c r="AE4269" s="1"/>
    </row>
    <row r="4270" spans="18:31" ht="75" customHeight="1">
      <c r="R4270" s="1"/>
      <c r="S4270" s="1"/>
      <c r="AD4270" s="1"/>
      <c r="AE4270" s="1"/>
    </row>
    <row r="4271" spans="18:31" ht="75" customHeight="1">
      <c r="R4271" s="1"/>
      <c r="S4271" s="1"/>
      <c r="AD4271" s="1"/>
      <c r="AE4271" s="1"/>
    </row>
    <row r="4272" spans="18:31" ht="75" customHeight="1">
      <c r="R4272" s="1"/>
      <c r="S4272" s="1"/>
      <c r="AD4272" s="1"/>
      <c r="AE4272" s="1"/>
    </row>
    <row r="4273" spans="18:31" ht="75" customHeight="1">
      <c r="R4273" s="1"/>
      <c r="S4273" s="1"/>
      <c r="AD4273" s="1"/>
      <c r="AE4273" s="1"/>
    </row>
    <row r="4274" spans="18:31" ht="75" customHeight="1">
      <c r="R4274" s="1"/>
      <c r="S4274" s="1"/>
      <c r="AD4274" s="1"/>
      <c r="AE4274" s="1"/>
    </row>
    <row r="4275" spans="18:31" ht="75" customHeight="1">
      <c r="R4275" s="1"/>
      <c r="S4275" s="1"/>
      <c r="AD4275" s="1"/>
      <c r="AE4275" s="1"/>
    </row>
    <row r="4276" spans="18:31" ht="75" customHeight="1">
      <c r="R4276" s="1"/>
      <c r="S4276" s="1"/>
      <c r="AD4276" s="1"/>
      <c r="AE4276" s="1"/>
    </row>
    <row r="4277" spans="18:31" ht="75" customHeight="1">
      <c r="R4277" s="1"/>
      <c r="S4277" s="1"/>
      <c r="AD4277" s="1"/>
      <c r="AE4277" s="1"/>
    </row>
    <row r="4278" spans="18:31" ht="75" customHeight="1">
      <c r="R4278" s="1"/>
      <c r="S4278" s="1"/>
      <c r="AD4278" s="1"/>
      <c r="AE4278" s="1"/>
    </row>
    <row r="4279" spans="18:31" ht="75" customHeight="1">
      <c r="R4279" s="1"/>
      <c r="S4279" s="1"/>
      <c r="AD4279" s="1"/>
      <c r="AE4279" s="1"/>
    </row>
    <row r="4280" spans="18:31" ht="75" customHeight="1">
      <c r="R4280" s="1"/>
      <c r="S4280" s="1"/>
      <c r="AD4280" s="1"/>
      <c r="AE4280" s="1"/>
    </row>
    <row r="4281" spans="18:31" ht="75" customHeight="1">
      <c r="R4281" s="1"/>
      <c r="S4281" s="1"/>
      <c r="AD4281" s="1"/>
      <c r="AE4281" s="1"/>
    </row>
    <row r="4282" spans="18:31" ht="75" customHeight="1">
      <c r="R4282" s="1"/>
      <c r="S4282" s="1"/>
      <c r="AD4282" s="1"/>
      <c r="AE4282" s="1"/>
    </row>
    <row r="4283" spans="18:31" ht="75" customHeight="1">
      <c r="R4283" s="1"/>
      <c r="S4283" s="1"/>
      <c r="AD4283" s="1"/>
      <c r="AE4283" s="1"/>
    </row>
    <row r="4284" spans="18:31" ht="75" customHeight="1">
      <c r="R4284" s="1"/>
      <c r="S4284" s="1"/>
      <c r="AD4284" s="1"/>
      <c r="AE4284" s="1"/>
    </row>
    <row r="4285" spans="18:31" ht="75" customHeight="1">
      <c r="R4285" s="1"/>
      <c r="S4285" s="1"/>
      <c r="AD4285" s="1"/>
      <c r="AE4285" s="1"/>
    </row>
    <row r="4286" spans="18:31" ht="75" customHeight="1">
      <c r="R4286" s="1"/>
      <c r="S4286" s="1"/>
      <c r="AD4286" s="1"/>
      <c r="AE4286" s="1"/>
    </row>
    <row r="4287" spans="18:31" ht="75" customHeight="1">
      <c r="R4287" s="1"/>
      <c r="S4287" s="1"/>
      <c r="AD4287" s="1"/>
      <c r="AE4287" s="1"/>
    </row>
    <row r="4288" spans="18:31" ht="75" customHeight="1">
      <c r="R4288" s="1"/>
      <c r="S4288" s="1"/>
      <c r="AD4288" s="1"/>
      <c r="AE4288" s="1"/>
    </row>
    <row r="4289" spans="18:31" ht="75" customHeight="1">
      <c r="R4289" s="1"/>
      <c r="S4289" s="1"/>
      <c r="AD4289" s="1"/>
      <c r="AE4289" s="1"/>
    </row>
    <row r="4290" spans="18:31" ht="75" customHeight="1">
      <c r="R4290" s="1"/>
      <c r="S4290" s="1"/>
      <c r="AD4290" s="1"/>
      <c r="AE4290" s="1"/>
    </row>
    <row r="4291" spans="18:31" ht="75" customHeight="1">
      <c r="R4291" s="1"/>
      <c r="S4291" s="1"/>
      <c r="AD4291" s="1"/>
      <c r="AE4291" s="1"/>
    </row>
    <row r="4292" spans="18:31" ht="75" customHeight="1">
      <c r="R4292" s="1"/>
      <c r="S4292" s="1"/>
      <c r="AD4292" s="1"/>
      <c r="AE4292" s="1"/>
    </row>
    <row r="4293" spans="18:31" ht="75" customHeight="1">
      <c r="R4293" s="1"/>
      <c r="S4293" s="1"/>
      <c r="AD4293" s="1"/>
      <c r="AE4293" s="1"/>
    </row>
    <row r="4294" spans="18:31" ht="75" customHeight="1">
      <c r="R4294" s="1"/>
      <c r="S4294" s="1"/>
      <c r="AD4294" s="1"/>
      <c r="AE4294" s="1"/>
    </row>
    <row r="4295" spans="18:31" ht="75" customHeight="1">
      <c r="R4295" s="1"/>
      <c r="S4295" s="1"/>
      <c r="AD4295" s="1"/>
      <c r="AE4295" s="1"/>
    </row>
    <row r="4296" spans="18:31" ht="75" customHeight="1">
      <c r="R4296" s="1"/>
      <c r="S4296" s="1"/>
      <c r="AD4296" s="1"/>
      <c r="AE4296" s="1"/>
    </row>
    <row r="4297" spans="18:31" ht="75" customHeight="1">
      <c r="R4297" s="1"/>
      <c r="S4297" s="1"/>
      <c r="AD4297" s="1"/>
      <c r="AE4297" s="1"/>
    </row>
    <row r="4298" spans="18:31" ht="75" customHeight="1">
      <c r="R4298" s="1"/>
      <c r="S4298" s="1"/>
      <c r="AD4298" s="1"/>
      <c r="AE4298" s="1"/>
    </row>
    <row r="4299" spans="18:31" ht="75" customHeight="1">
      <c r="R4299" s="1"/>
      <c r="S4299" s="1"/>
      <c r="AD4299" s="1"/>
      <c r="AE4299" s="1"/>
    </row>
    <row r="4300" spans="18:31" ht="75" customHeight="1">
      <c r="R4300" s="1"/>
      <c r="S4300" s="1"/>
      <c r="AD4300" s="1"/>
      <c r="AE4300" s="1"/>
    </row>
    <row r="4301" spans="18:31" ht="75" customHeight="1">
      <c r="R4301" s="1"/>
      <c r="S4301" s="1"/>
      <c r="AD4301" s="1"/>
      <c r="AE4301" s="1"/>
    </row>
    <row r="4302" spans="18:31" ht="75" customHeight="1">
      <c r="R4302" s="1"/>
      <c r="S4302" s="1"/>
      <c r="AD4302" s="1"/>
      <c r="AE4302" s="1"/>
    </row>
    <row r="4303" spans="18:31" ht="75" customHeight="1">
      <c r="R4303" s="1"/>
      <c r="S4303" s="1"/>
      <c r="AD4303" s="1"/>
      <c r="AE4303" s="1"/>
    </row>
    <row r="4304" spans="18:31" ht="75" customHeight="1">
      <c r="R4304" s="1"/>
      <c r="S4304" s="1"/>
      <c r="AD4304" s="1"/>
      <c r="AE4304" s="1"/>
    </row>
    <row r="4305" spans="18:31" ht="75" customHeight="1">
      <c r="R4305" s="1"/>
      <c r="S4305" s="1"/>
      <c r="AD4305" s="1"/>
      <c r="AE4305" s="1"/>
    </row>
    <row r="4306" spans="18:31" ht="75" customHeight="1">
      <c r="R4306" s="1"/>
      <c r="S4306" s="1"/>
      <c r="AD4306" s="1"/>
      <c r="AE4306" s="1"/>
    </row>
    <row r="4307" spans="18:31" ht="75" customHeight="1">
      <c r="R4307" s="1"/>
      <c r="S4307" s="1"/>
      <c r="AD4307" s="1"/>
      <c r="AE4307" s="1"/>
    </row>
    <row r="4308" spans="18:31" ht="75" customHeight="1">
      <c r="R4308" s="1"/>
      <c r="S4308" s="1"/>
      <c r="AD4308" s="1"/>
      <c r="AE4308" s="1"/>
    </row>
    <row r="4309" spans="18:31" ht="75" customHeight="1">
      <c r="R4309" s="1"/>
      <c r="S4309" s="1"/>
      <c r="AD4309" s="1"/>
      <c r="AE4309" s="1"/>
    </row>
    <row r="4310" spans="18:31" ht="75" customHeight="1">
      <c r="R4310" s="1"/>
      <c r="S4310" s="1"/>
      <c r="AD4310" s="1"/>
      <c r="AE4310" s="1"/>
    </row>
    <row r="4311" spans="18:31" ht="75" customHeight="1">
      <c r="R4311" s="1"/>
      <c r="S4311" s="1"/>
      <c r="AD4311" s="1"/>
      <c r="AE4311" s="1"/>
    </row>
    <row r="4312" spans="18:31" ht="75" customHeight="1">
      <c r="R4312" s="1"/>
      <c r="S4312" s="1"/>
      <c r="AD4312" s="1"/>
      <c r="AE4312" s="1"/>
    </row>
    <row r="4313" spans="18:31" ht="75" customHeight="1">
      <c r="R4313" s="1"/>
      <c r="S4313" s="1"/>
      <c r="AD4313" s="1"/>
      <c r="AE4313" s="1"/>
    </row>
    <row r="4314" spans="18:31" ht="75" customHeight="1">
      <c r="R4314" s="1"/>
      <c r="S4314" s="1"/>
      <c r="AD4314" s="1"/>
      <c r="AE4314" s="1"/>
    </row>
    <row r="4315" spans="18:31" ht="75" customHeight="1">
      <c r="R4315" s="1"/>
      <c r="S4315" s="1"/>
      <c r="AD4315" s="1"/>
      <c r="AE4315" s="1"/>
    </row>
    <row r="4316" spans="18:31" ht="75" customHeight="1">
      <c r="R4316" s="1"/>
      <c r="S4316" s="1"/>
      <c r="AD4316" s="1"/>
      <c r="AE4316" s="1"/>
    </row>
    <row r="4317" spans="18:31" ht="75" customHeight="1">
      <c r="R4317" s="1"/>
      <c r="S4317" s="1"/>
      <c r="AD4317" s="1"/>
      <c r="AE4317" s="1"/>
    </row>
    <row r="4318" spans="18:31" ht="75" customHeight="1">
      <c r="R4318" s="1"/>
      <c r="S4318" s="1"/>
      <c r="AD4318" s="1"/>
      <c r="AE4318" s="1"/>
    </row>
    <row r="4319" spans="18:31" ht="75" customHeight="1">
      <c r="R4319" s="1"/>
      <c r="S4319" s="1"/>
      <c r="AD4319" s="1"/>
      <c r="AE4319" s="1"/>
    </row>
    <row r="4320" spans="18:31" ht="75" customHeight="1">
      <c r="R4320" s="1"/>
      <c r="S4320" s="1"/>
      <c r="AD4320" s="1"/>
      <c r="AE4320" s="1"/>
    </row>
    <row r="4321" spans="18:31" ht="75" customHeight="1">
      <c r="R4321" s="1"/>
      <c r="S4321" s="1"/>
      <c r="AD4321" s="1"/>
      <c r="AE4321" s="1"/>
    </row>
    <row r="4322" spans="18:31" ht="75" customHeight="1">
      <c r="R4322" s="1"/>
      <c r="S4322" s="1"/>
      <c r="AD4322" s="1"/>
      <c r="AE4322" s="1"/>
    </row>
    <row r="4323" spans="18:31" ht="75" customHeight="1">
      <c r="R4323" s="1"/>
      <c r="S4323" s="1"/>
      <c r="AD4323" s="1"/>
      <c r="AE4323" s="1"/>
    </row>
    <row r="4324" spans="18:31" ht="75" customHeight="1">
      <c r="R4324" s="1"/>
      <c r="S4324" s="1"/>
      <c r="AD4324" s="1"/>
      <c r="AE4324" s="1"/>
    </row>
    <row r="4325" spans="18:31" ht="75" customHeight="1">
      <c r="R4325" s="1"/>
      <c r="S4325" s="1"/>
      <c r="AD4325" s="1"/>
      <c r="AE4325" s="1"/>
    </row>
    <row r="4326" spans="18:31" ht="75" customHeight="1">
      <c r="R4326" s="1"/>
      <c r="S4326" s="1"/>
      <c r="AD4326" s="1"/>
      <c r="AE4326" s="1"/>
    </row>
    <row r="4327" spans="18:31" ht="75" customHeight="1">
      <c r="R4327" s="1"/>
      <c r="S4327" s="1"/>
      <c r="AD4327" s="1"/>
      <c r="AE4327" s="1"/>
    </row>
    <row r="4328" spans="18:31" ht="75" customHeight="1">
      <c r="R4328" s="1"/>
      <c r="S4328" s="1"/>
      <c r="AD4328" s="1"/>
      <c r="AE4328" s="1"/>
    </row>
    <row r="4329" spans="18:31" ht="75" customHeight="1">
      <c r="R4329" s="1"/>
      <c r="S4329" s="1"/>
      <c r="AD4329" s="1"/>
      <c r="AE4329" s="1"/>
    </row>
    <row r="4330" spans="18:31" ht="75" customHeight="1">
      <c r="R4330" s="1"/>
      <c r="S4330" s="1"/>
      <c r="AD4330" s="1"/>
      <c r="AE4330" s="1"/>
    </row>
    <row r="4331" spans="18:31" ht="75" customHeight="1">
      <c r="R4331" s="1"/>
      <c r="S4331" s="1"/>
      <c r="AD4331" s="1"/>
      <c r="AE4331" s="1"/>
    </row>
    <row r="4332" spans="18:31" ht="75" customHeight="1">
      <c r="R4332" s="1"/>
      <c r="S4332" s="1"/>
      <c r="AD4332" s="1"/>
      <c r="AE4332" s="1"/>
    </row>
    <row r="4333" spans="18:31" ht="75" customHeight="1">
      <c r="R4333" s="1"/>
      <c r="S4333" s="1"/>
      <c r="AD4333" s="1"/>
      <c r="AE4333" s="1"/>
    </row>
    <row r="4334" spans="18:31" ht="75" customHeight="1">
      <c r="R4334" s="1"/>
      <c r="S4334" s="1"/>
      <c r="AD4334" s="1"/>
      <c r="AE4334" s="1"/>
    </row>
    <row r="4335" spans="18:31" ht="75" customHeight="1">
      <c r="R4335" s="1"/>
      <c r="S4335" s="1"/>
      <c r="AD4335" s="1"/>
      <c r="AE4335" s="1"/>
    </row>
    <row r="4336" spans="18:31" ht="75" customHeight="1">
      <c r="R4336" s="1"/>
      <c r="S4336" s="1"/>
      <c r="AD4336" s="1"/>
      <c r="AE4336" s="1"/>
    </row>
    <row r="4337" spans="18:31" ht="75" customHeight="1">
      <c r="R4337" s="1"/>
      <c r="S4337" s="1"/>
      <c r="AD4337" s="1"/>
      <c r="AE4337" s="1"/>
    </row>
    <row r="4338" spans="18:31" ht="75" customHeight="1">
      <c r="R4338" s="1"/>
      <c r="S4338" s="1"/>
      <c r="AD4338" s="1"/>
      <c r="AE4338" s="1"/>
    </row>
    <row r="4339" spans="18:31" ht="75" customHeight="1">
      <c r="R4339" s="1"/>
      <c r="S4339" s="1"/>
      <c r="AD4339" s="1"/>
      <c r="AE4339" s="1"/>
    </row>
    <row r="4340" spans="18:31" ht="75" customHeight="1">
      <c r="R4340" s="1"/>
      <c r="S4340" s="1"/>
      <c r="AD4340" s="1"/>
      <c r="AE4340" s="1"/>
    </row>
    <row r="4341" spans="18:31" ht="75" customHeight="1">
      <c r="R4341" s="1"/>
      <c r="S4341" s="1"/>
      <c r="AD4341" s="1"/>
      <c r="AE4341" s="1"/>
    </row>
    <row r="4342" spans="18:31" ht="75" customHeight="1">
      <c r="R4342" s="1"/>
      <c r="S4342" s="1"/>
      <c r="AD4342" s="1"/>
      <c r="AE4342" s="1"/>
    </row>
    <row r="4343" spans="18:31" ht="75" customHeight="1">
      <c r="R4343" s="1"/>
      <c r="S4343" s="1"/>
      <c r="AD4343" s="1"/>
      <c r="AE4343" s="1"/>
    </row>
    <row r="4344" spans="18:31" ht="75" customHeight="1">
      <c r="R4344" s="1"/>
      <c r="S4344" s="1"/>
      <c r="AD4344" s="1"/>
      <c r="AE4344" s="1"/>
    </row>
    <row r="4345" spans="18:31" ht="75" customHeight="1">
      <c r="R4345" s="1"/>
      <c r="S4345" s="1"/>
      <c r="AD4345" s="1"/>
      <c r="AE4345" s="1"/>
    </row>
    <row r="4346" spans="18:31" ht="75" customHeight="1">
      <c r="R4346" s="1"/>
      <c r="S4346" s="1"/>
      <c r="AD4346" s="1"/>
      <c r="AE4346" s="1"/>
    </row>
    <row r="4347" spans="18:31" ht="75" customHeight="1">
      <c r="R4347" s="1"/>
      <c r="S4347" s="1"/>
      <c r="AD4347" s="1"/>
      <c r="AE4347" s="1"/>
    </row>
    <row r="4348" spans="18:31" ht="75" customHeight="1">
      <c r="R4348" s="1"/>
      <c r="S4348" s="1"/>
      <c r="AD4348" s="1"/>
      <c r="AE4348" s="1"/>
    </row>
    <row r="4349" spans="18:31" ht="75" customHeight="1">
      <c r="R4349" s="1"/>
      <c r="S4349" s="1"/>
      <c r="AD4349" s="1"/>
      <c r="AE4349" s="1"/>
    </row>
    <row r="4350" spans="18:31" ht="75" customHeight="1">
      <c r="R4350" s="1"/>
      <c r="S4350" s="1"/>
      <c r="AD4350" s="1"/>
      <c r="AE4350" s="1"/>
    </row>
    <row r="4351" spans="18:31" ht="75" customHeight="1">
      <c r="R4351" s="1"/>
      <c r="S4351" s="1"/>
      <c r="AD4351" s="1"/>
      <c r="AE4351" s="1"/>
    </row>
    <row r="4352" spans="18:31" ht="75" customHeight="1">
      <c r="R4352" s="1"/>
      <c r="S4352" s="1"/>
      <c r="AD4352" s="1"/>
      <c r="AE4352" s="1"/>
    </row>
    <row r="4353" spans="18:31" ht="75" customHeight="1">
      <c r="R4353" s="1"/>
      <c r="S4353" s="1"/>
      <c r="AD4353" s="1"/>
      <c r="AE4353" s="1"/>
    </row>
    <row r="4354" spans="18:31" ht="75" customHeight="1">
      <c r="R4354" s="1"/>
      <c r="S4354" s="1"/>
      <c r="AD4354" s="1"/>
      <c r="AE4354" s="1"/>
    </row>
    <row r="4355" spans="18:31" ht="75" customHeight="1">
      <c r="R4355" s="1"/>
      <c r="S4355" s="1"/>
      <c r="AD4355" s="1"/>
      <c r="AE4355" s="1"/>
    </row>
    <row r="4356" spans="18:31" ht="75" customHeight="1">
      <c r="R4356" s="1"/>
      <c r="S4356" s="1"/>
      <c r="AD4356" s="1"/>
      <c r="AE4356" s="1"/>
    </row>
    <row r="4357" spans="18:31" ht="75" customHeight="1">
      <c r="R4357" s="1"/>
      <c r="S4357" s="1"/>
      <c r="AD4357" s="1"/>
      <c r="AE4357" s="1"/>
    </row>
    <row r="4358" spans="18:31" ht="75" customHeight="1">
      <c r="R4358" s="1"/>
      <c r="S4358" s="1"/>
      <c r="AD4358" s="1"/>
      <c r="AE4358" s="1"/>
    </row>
    <row r="4359" spans="18:31" ht="75" customHeight="1">
      <c r="R4359" s="1"/>
      <c r="S4359" s="1"/>
      <c r="AD4359" s="1"/>
      <c r="AE4359" s="1"/>
    </row>
    <row r="4360" spans="18:31" ht="75" customHeight="1">
      <c r="R4360" s="1"/>
      <c r="S4360" s="1"/>
      <c r="AD4360" s="1"/>
      <c r="AE4360" s="1"/>
    </row>
    <row r="4361" spans="18:31" ht="75" customHeight="1">
      <c r="R4361" s="1"/>
      <c r="S4361" s="1"/>
      <c r="AD4361" s="1"/>
      <c r="AE4361" s="1"/>
    </row>
    <row r="4362" spans="18:31" ht="75" customHeight="1">
      <c r="R4362" s="1"/>
      <c r="S4362" s="1"/>
      <c r="AD4362" s="1"/>
      <c r="AE4362" s="1"/>
    </row>
    <row r="4363" spans="18:31" ht="75" customHeight="1">
      <c r="R4363" s="1"/>
      <c r="S4363" s="1"/>
      <c r="AD4363" s="1"/>
      <c r="AE4363" s="1"/>
    </row>
    <row r="4364" spans="18:31" ht="75" customHeight="1">
      <c r="R4364" s="1"/>
      <c r="S4364" s="1"/>
      <c r="AD4364" s="1"/>
      <c r="AE4364" s="1"/>
    </row>
    <row r="4365" spans="18:31" ht="75" customHeight="1">
      <c r="R4365" s="1"/>
      <c r="S4365" s="1"/>
      <c r="AD4365" s="1"/>
      <c r="AE4365" s="1"/>
    </row>
    <row r="4366" spans="18:31" ht="75" customHeight="1">
      <c r="R4366" s="1"/>
      <c r="S4366" s="1"/>
      <c r="AD4366" s="1"/>
      <c r="AE4366" s="1"/>
    </row>
    <row r="4367" spans="18:31" ht="75" customHeight="1">
      <c r="R4367" s="1"/>
      <c r="S4367" s="1"/>
      <c r="AD4367" s="1"/>
      <c r="AE4367" s="1"/>
    </row>
    <row r="4368" spans="18:31" ht="75" customHeight="1">
      <c r="R4368" s="1"/>
      <c r="S4368" s="1"/>
      <c r="AD4368" s="1"/>
      <c r="AE4368" s="1"/>
    </row>
    <row r="4369" spans="18:31" ht="75" customHeight="1">
      <c r="R4369" s="1"/>
      <c r="S4369" s="1"/>
      <c r="AD4369" s="1"/>
      <c r="AE4369" s="1"/>
    </row>
    <row r="4370" spans="18:31" ht="75" customHeight="1">
      <c r="R4370" s="1"/>
      <c r="S4370" s="1"/>
      <c r="AD4370" s="1"/>
      <c r="AE4370" s="1"/>
    </row>
    <row r="4371" spans="18:31" ht="75" customHeight="1">
      <c r="R4371" s="1"/>
      <c r="S4371" s="1"/>
      <c r="AD4371" s="1"/>
      <c r="AE4371" s="1"/>
    </row>
    <row r="4372" spans="18:31" ht="75" customHeight="1">
      <c r="R4372" s="1"/>
      <c r="S4372" s="1"/>
      <c r="AD4372" s="1"/>
      <c r="AE4372" s="1"/>
    </row>
    <row r="4373" spans="18:31" ht="75" customHeight="1">
      <c r="R4373" s="1"/>
      <c r="S4373" s="1"/>
      <c r="AD4373" s="1"/>
      <c r="AE4373" s="1"/>
    </row>
    <row r="4374" spans="18:31" ht="75" customHeight="1">
      <c r="R4374" s="1"/>
      <c r="S4374" s="1"/>
      <c r="AD4374" s="1"/>
      <c r="AE4374" s="1"/>
    </row>
    <row r="4375" spans="18:31" ht="75" customHeight="1">
      <c r="R4375" s="1"/>
      <c r="S4375" s="1"/>
      <c r="AD4375" s="1"/>
      <c r="AE4375" s="1"/>
    </row>
    <row r="4376" spans="18:31" ht="75" customHeight="1">
      <c r="R4376" s="1"/>
      <c r="S4376" s="1"/>
      <c r="AD4376" s="1"/>
      <c r="AE4376" s="1"/>
    </row>
    <row r="4377" spans="18:31" ht="75" customHeight="1">
      <c r="R4377" s="1"/>
      <c r="S4377" s="1"/>
      <c r="AD4377" s="1"/>
      <c r="AE4377" s="1"/>
    </row>
    <row r="4378" spans="18:31" ht="75" customHeight="1">
      <c r="R4378" s="1"/>
      <c r="S4378" s="1"/>
      <c r="AD4378" s="1"/>
      <c r="AE4378" s="1"/>
    </row>
    <row r="4379" spans="18:31" ht="75" customHeight="1">
      <c r="R4379" s="1"/>
      <c r="S4379" s="1"/>
      <c r="AD4379" s="1"/>
      <c r="AE4379" s="1"/>
    </row>
    <row r="4380" spans="18:31" ht="75" customHeight="1">
      <c r="R4380" s="1"/>
      <c r="S4380" s="1"/>
      <c r="AD4380" s="1"/>
      <c r="AE4380" s="1"/>
    </row>
    <row r="4381" spans="18:31" ht="75" customHeight="1">
      <c r="R4381" s="1"/>
      <c r="S4381" s="1"/>
      <c r="AD4381" s="1"/>
      <c r="AE4381" s="1"/>
    </row>
    <row r="4382" spans="18:31" ht="75" customHeight="1">
      <c r="R4382" s="1"/>
      <c r="S4382" s="1"/>
      <c r="AD4382" s="1"/>
      <c r="AE4382" s="1"/>
    </row>
    <row r="4383" spans="18:31" ht="75" customHeight="1">
      <c r="R4383" s="1"/>
      <c r="S4383" s="1"/>
      <c r="AD4383" s="1"/>
      <c r="AE4383" s="1"/>
    </row>
    <row r="4384" spans="18:31" ht="75" customHeight="1">
      <c r="R4384" s="1"/>
      <c r="S4384" s="1"/>
      <c r="AD4384" s="1"/>
      <c r="AE4384" s="1"/>
    </row>
    <row r="4385" spans="18:31" ht="75" customHeight="1">
      <c r="R4385" s="1"/>
      <c r="S4385" s="1"/>
      <c r="AD4385" s="1"/>
      <c r="AE4385" s="1"/>
    </row>
    <row r="4386" spans="18:31" ht="75" customHeight="1">
      <c r="R4386" s="1"/>
      <c r="S4386" s="1"/>
      <c r="AD4386" s="1"/>
      <c r="AE4386" s="1"/>
    </row>
    <row r="4387" spans="18:31" ht="75" customHeight="1">
      <c r="R4387" s="1"/>
      <c r="S4387" s="1"/>
      <c r="AD4387" s="1"/>
      <c r="AE4387" s="1"/>
    </row>
    <row r="4388" spans="18:31" ht="75" customHeight="1">
      <c r="R4388" s="1"/>
      <c r="S4388" s="1"/>
      <c r="AD4388" s="1"/>
      <c r="AE4388" s="1"/>
    </row>
    <row r="4389" spans="18:31" ht="75" customHeight="1">
      <c r="R4389" s="1"/>
      <c r="S4389" s="1"/>
      <c r="AD4389" s="1"/>
      <c r="AE4389" s="1"/>
    </row>
    <row r="4390" spans="18:31" ht="75" customHeight="1">
      <c r="R4390" s="1"/>
      <c r="S4390" s="1"/>
      <c r="AD4390" s="1"/>
      <c r="AE4390" s="1"/>
    </row>
    <row r="4391" spans="18:31" ht="75" customHeight="1">
      <c r="R4391" s="1"/>
      <c r="S4391" s="1"/>
      <c r="AD4391" s="1"/>
      <c r="AE4391" s="1"/>
    </row>
    <row r="4392" spans="18:31" ht="75" customHeight="1">
      <c r="R4392" s="1"/>
      <c r="S4392" s="1"/>
      <c r="AD4392" s="1"/>
      <c r="AE4392" s="1"/>
    </row>
    <row r="4393" spans="18:31" ht="75" customHeight="1">
      <c r="R4393" s="1"/>
      <c r="S4393" s="1"/>
      <c r="AD4393" s="1"/>
      <c r="AE4393" s="1"/>
    </row>
    <row r="4394" spans="18:31" ht="75" customHeight="1">
      <c r="R4394" s="1"/>
      <c r="S4394" s="1"/>
      <c r="AD4394" s="1"/>
      <c r="AE4394" s="1"/>
    </row>
    <row r="4395" spans="18:31" ht="75" customHeight="1">
      <c r="R4395" s="1"/>
      <c r="S4395" s="1"/>
      <c r="AD4395" s="1"/>
      <c r="AE4395" s="1"/>
    </row>
    <row r="4396" spans="18:31" ht="75" customHeight="1">
      <c r="R4396" s="1"/>
      <c r="S4396" s="1"/>
      <c r="AD4396" s="1"/>
      <c r="AE4396" s="1"/>
    </row>
    <row r="4397" spans="18:31" ht="75" customHeight="1">
      <c r="R4397" s="1"/>
      <c r="S4397" s="1"/>
      <c r="AD4397" s="1"/>
      <c r="AE4397" s="1"/>
    </row>
    <row r="4398" spans="18:31" ht="75" customHeight="1">
      <c r="R4398" s="1"/>
      <c r="S4398" s="1"/>
      <c r="AD4398" s="1"/>
      <c r="AE4398" s="1"/>
    </row>
    <row r="4399" spans="18:31" ht="75" customHeight="1">
      <c r="R4399" s="1"/>
      <c r="S4399" s="1"/>
      <c r="AD4399" s="1"/>
      <c r="AE4399" s="1"/>
    </row>
    <row r="4400" spans="18:31" ht="75" customHeight="1">
      <c r="R4400" s="1"/>
      <c r="S4400" s="1"/>
      <c r="AD4400" s="1"/>
      <c r="AE4400" s="1"/>
    </row>
    <row r="4401" spans="18:31" ht="75" customHeight="1">
      <c r="R4401" s="1"/>
      <c r="S4401" s="1"/>
      <c r="AD4401" s="1"/>
      <c r="AE4401" s="1"/>
    </row>
    <row r="4402" spans="18:31" ht="75" customHeight="1">
      <c r="R4402" s="1"/>
      <c r="S4402" s="1"/>
      <c r="AD4402" s="1"/>
      <c r="AE4402" s="1"/>
    </row>
    <row r="4403" spans="18:31" ht="75" customHeight="1">
      <c r="R4403" s="1"/>
      <c r="S4403" s="1"/>
      <c r="AD4403" s="1"/>
      <c r="AE4403" s="1"/>
    </row>
    <row r="4404" spans="18:31" ht="75" customHeight="1">
      <c r="R4404" s="1"/>
      <c r="S4404" s="1"/>
      <c r="AD4404" s="1"/>
      <c r="AE4404" s="1"/>
    </row>
    <row r="4405" spans="18:31" ht="75" customHeight="1">
      <c r="R4405" s="1"/>
      <c r="S4405" s="1"/>
      <c r="AD4405" s="1"/>
      <c r="AE4405" s="1"/>
    </row>
    <row r="4406" spans="18:31" ht="75" customHeight="1">
      <c r="R4406" s="1"/>
      <c r="S4406" s="1"/>
      <c r="AD4406" s="1"/>
      <c r="AE4406" s="1"/>
    </row>
    <row r="4407" spans="18:31" ht="75" customHeight="1">
      <c r="R4407" s="1"/>
      <c r="S4407" s="1"/>
      <c r="AD4407" s="1"/>
      <c r="AE4407" s="1"/>
    </row>
    <row r="4408" spans="18:31" ht="75" customHeight="1">
      <c r="R4408" s="1"/>
      <c r="S4408" s="1"/>
      <c r="AD4408" s="1"/>
      <c r="AE4408" s="1"/>
    </row>
    <row r="4409" spans="18:31" ht="75" customHeight="1">
      <c r="R4409" s="1"/>
      <c r="S4409" s="1"/>
      <c r="AD4409" s="1"/>
      <c r="AE4409" s="1"/>
    </row>
    <row r="4410" spans="18:31" ht="75" customHeight="1">
      <c r="R4410" s="1"/>
      <c r="S4410" s="1"/>
      <c r="AD4410" s="1"/>
      <c r="AE4410" s="1"/>
    </row>
    <row r="4411" spans="18:31" ht="75" customHeight="1">
      <c r="R4411" s="1"/>
      <c r="S4411" s="1"/>
      <c r="AD4411" s="1"/>
      <c r="AE4411" s="1"/>
    </row>
    <row r="4412" spans="18:31" ht="75" customHeight="1">
      <c r="R4412" s="1"/>
      <c r="S4412" s="1"/>
      <c r="AD4412" s="1"/>
      <c r="AE4412" s="1"/>
    </row>
    <row r="4413" spans="18:31" ht="75" customHeight="1">
      <c r="R4413" s="1"/>
      <c r="S4413" s="1"/>
      <c r="AD4413" s="1"/>
      <c r="AE4413" s="1"/>
    </row>
    <row r="4414" spans="18:31" ht="75" customHeight="1">
      <c r="R4414" s="1"/>
      <c r="S4414" s="1"/>
      <c r="AD4414" s="1"/>
      <c r="AE4414" s="1"/>
    </row>
    <row r="4415" spans="18:31" ht="75" customHeight="1">
      <c r="R4415" s="1"/>
      <c r="S4415" s="1"/>
      <c r="AD4415" s="1"/>
      <c r="AE4415" s="1"/>
    </row>
    <row r="4416" spans="18:31" ht="75" customHeight="1">
      <c r="R4416" s="1"/>
      <c r="S4416" s="1"/>
      <c r="AD4416" s="1"/>
      <c r="AE4416" s="1"/>
    </row>
    <row r="4417" spans="18:31" ht="75" customHeight="1">
      <c r="R4417" s="1"/>
      <c r="S4417" s="1"/>
      <c r="AD4417" s="1"/>
      <c r="AE4417" s="1"/>
    </row>
    <row r="4418" spans="18:31" ht="75" customHeight="1">
      <c r="R4418" s="1"/>
      <c r="S4418" s="1"/>
      <c r="AD4418" s="1"/>
      <c r="AE4418" s="1"/>
    </row>
    <row r="4419" spans="18:31" ht="75" customHeight="1">
      <c r="R4419" s="1"/>
      <c r="S4419" s="1"/>
      <c r="AD4419" s="1"/>
      <c r="AE4419" s="1"/>
    </row>
    <row r="4420" spans="18:31" ht="75" customHeight="1">
      <c r="R4420" s="1"/>
      <c r="S4420" s="1"/>
      <c r="AD4420" s="1"/>
      <c r="AE4420" s="1"/>
    </row>
    <row r="4421" spans="18:31" ht="75" customHeight="1">
      <c r="R4421" s="1"/>
      <c r="S4421" s="1"/>
      <c r="AD4421" s="1"/>
      <c r="AE4421" s="1"/>
    </row>
    <row r="4422" spans="18:31" ht="75" customHeight="1">
      <c r="R4422" s="1"/>
      <c r="S4422" s="1"/>
      <c r="AD4422" s="1"/>
      <c r="AE4422" s="1"/>
    </row>
    <row r="4423" spans="18:31" ht="75" customHeight="1">
      <c r="R4423" s="1"/>
      <c r="S4423" s="1"/>
      <c r="AD4423" s="1"/>
      <c r="AE4423" s="1"/>
    </row>
    <row r="4424" spans="18:31" ht="75" customHeight="1">
      <c r="R4424" s="1"/>
      <c r="S4424" s="1"/>
      <c r="AD4424" s="1"/>
      <c r="AE4424" s="1"/>
    </row>
    <row r="4425" spans="18:31" ht="75" customHeight="1">
      <c r="R4425" s="1"/>
      <c r="S4425" s="1"/>
      <c r="AD4425" s="1"/>
      <c r="AE4425" s="1"/>
    </row>
    <row r="4426" spans="18:31" ht="75" customHeight="1">
      <c r="R4426" s="1"/>
      <c r="S4426" s="1"/>
      <c r="AD4426" s="1"/>
      <c r="AE4426" s="1"/>
    </row>
    <row r="4427" spans="18:31" ht="75" customHeight="1">
      <c r="R4427" s="1"/>
      <c r="S4427" s="1"/>
      <c r="AD4427" s="1"/>
      <c r="AE4427" s="1"/>
    </row>
    <row r="4428" spans="18:31" ht="75" customHeight="1">
      <c r="R4428" s="1"/>
      <c r="S4428" s="1"/>
      <c r="AD4428" s="1"/>
      <c r="AE4428" s="1"/>
    </row>
    <row r="4429" spans="18:31" ht="75" customHeight="1">
      <c r="R4429" s="1"/>
      <c r="S4429" s="1"/>
      <c r="AD4429" s="1"/>
      <c r="AE4429" s="1"/>
    </row>
    <row r="4430" spans="18:31" ht="75" customHeight="1">
      <c r="R4430" s="1"/>
      <c r="S4430" s="1"/>
      <c r="AD4430" s="1"/>
      <c r="AE4430" s="1"/>
    </row>
    <row r="4431" spans="18:31" ht="75" customHeight="1">
      <c r="R4431" s="1"/>
      <c r="S4431" s="1"/>
      <c r="AD4431" s="1"/>
      <c r="AE4431" s="1"/>
    </row>
    <row r="4432" spans="18:31" ht="75" customHeight="1">
      <c r="R4432" s="1"/>
      <c r="S4432" s="1"/>
      <c r="AD4432" s="1"/>
      <c r="AE4432" s="1"/>
    </row>
    <row r="4433" spans="18:31" ht="75" customHeight="1">
      <c r="R4433" s="1"/>
      <c r="S4433" s="1"/>
      <c r="AD4433" s="1"/>
      <c r="AE4433" s="1"/>
    </row>
    <row r="4434" spans="18:31" ht="75" customHeight="1">
      <c r="R4434" s="1"/>
      <c r="S4434" s="1"/>
      <c r="AD4434" s="1"/>
      <c r="AE4434" s="1"/>
    </row>
    <row r="4435" spans="18:31" ht="75" customHeight="1">
      <c r="R4435" s="1"/>
      <c r="S4435" s="1"/>
      <c r="AD4435" s="1"/>
      <c r="AE4435" s="1"/>
    </row>
    <row r="4436" spans="18:31" ht="75" customHeight="1">
      <c r="R4436" s="1"/>
      <c r="S4436" s="1"/>
      <c r="AD4436" s="1"/>
      <c r="AE4436" s="1"/>
    </row>
    <row r="4437" spans="18:31" ht="75" customHeight="1">
      <c r="R4437" s="1"/>
      <c r="S4437" s="1"/>
      <c r="AD4437" s="1"/>
      <c r="AE4437" s="1"/>
    </row>
    <row r="4438" spans="18:31" ht="75" customHeight="1">
      <c r="R4438" s="1"/>
      <c r="S4438" s="1"/>
      <c r="AD4438" s="1"/>
      <c r="AE4438" s="1"/>
    </row>
    <row r="4439" spans="18:31" ht="75" customHeight="1">
      <c r="R4439" s="1"/>
      <c r="S4439" s="1"/>
      <c r="AD4439" s="1"/>
      <c r="AE4439" s="1"/>
    </row>
    <row r="4440" spans="18:31" ht="75" customHeight="1">
      <c r="R4440" s="1"/>
      <c r="S4440" s="1"/>
      <c r="AD4440" s="1"/>
      <c r="AE4440" s="1"/>
    </row>
    <row r="4441" spans="18:31" ht="75" customHeight="1">
      <c r="R4441" s="1"/>
      <c r="S4441" s="1"/>
      <c r="AD4441" s="1"/>
      <c r="AE4441" s="1"/>
    </row>
    <row r="4442" spans="18:31" ht="75" customHeight="1">
      <c r="R4442" s="1"/>
      <c r="S4442" s="1"/>
      <c r="AD4442" s="1"/>
      <c r="AE4442" s="1"/>
    </row>
    <row r="4443" spans="18:31" ht="75" customHeight="1">
      <c r="R4443" s="1"/>
      <c r="S4443" s="1"/>
      <c r="AD4443" s="1"/>
      <c r="AE4443" s="1"/>
    </row>
    <row r="4444" spans="18:31" ht="75" customHeight="1">
      <c r="R4444" s="1"/>
      <c r="S4444" s="1"/>
      <c r="AD4444" s="1"/>
      <c r="AE4444" s="1"/>
    </row>
    <row r="4445" spans="18:31" ht="75" customHeight="1">
      <c r="R4445" s="1"/>
      <c r="S4445" s="1"/>
      <c r="AD4445" s="1"/>
      <c r="AE4445" s="1"/>
    </row>
    <row r="4446" spans="18:31" ht="75" customHeight="1">
      <c r="R4446" s="1"/>
      <c r="S4446" s="1"/>
      <c r="AD4446" s="1"/>
      <c r="AE4446" s="1"/>
    </row>
    <row r="4447" spans="18:31" ht="75" customHeight="1">
      <c r="R4447" s="1"/>
      <c r="S4447" s="1"/>
      <c r="AD4447" s="1"/>
      <c r="AE4447" s="1"/>
    </row>
    <row r="4448" spans="18:31" ht="75" customHeight="1">
      <c r="R4448" s="1"/>
      <c r="S4448" s="1"/>
      <c r="AD4448" s="1"/>
      <c r="AE4448" s="1"/>
    </row>
    <row r="4449" spans="18:31" ht="75" customHeight="1">
      <c r="R4449" s="1"/>
      <c r="S4449" s="1"/>
      <c r="AD4449" s="1"/>
      <c r="AE4449" s="1"/>
    </row>
    <row r="4450" spans="18:31" ht="75" customHeight="1">
      <c r="R4450" s="1"/>
      <c r="S4450" s="1"/>
      <c r="AD4450" s="1"/>
      <c r="AE4450" s="1"/>
    </row>
    <row r="4451" spans="18:31" ht="75" customHeight="1">
      <c r="R4451" s="1"/>
      <c r="S4451" s="1"/>
      <c r="AD4451" s="1"/>
      <c r="AE4451" s="1"/>
    </row>
    <row r="4452" spans="18:31" ht="75" customHeight="1">
      <c r="R4452" s="1"/>
      <c r="S4452" s="1"/>
      <c r="AD4452" s="1"/>
      <c r="AE4452" s="1"/>
    </row>
    <row r="4453" spans="18:31" ht="75" customHeight="1">
      <c r="R4453" s="1"/>
      <c r="S4453" s="1"/>
      <c r="AD4453" s="1"/>
      <c r="AE4453" s="1"/>
    </row>
    <row r="4454" spans="18:31" ht="75" customHeight="1">
      <c r="R4454" s="1"/>
      <c r="S4454" s="1"/>
      <c r="AD4454" s="1"/>
      <c r="AE4454" s="1"/>
    </row>
    <row r="4455" spans="18:31" ht="75" customHeight="1">
      <c r="R4455" s="1"/>
      <c r="S4455" s="1"/>
      <c r="AD4455" s="1"/>
      <c r="AE4455" s="1"/>
    </row>
    <row r="4456" spans="18:31" ht="75" customHeight="1">
      <c r="R4456" s="1"/>
      <c r="S4456" s="1"/>
      <c r="AD4456" s="1"/>
      <c r="AE4456" s="1"/>
    </row>
    <row r="4457" spans="18:31" ht="75" customHeight="1">
      <c r="R4457" s="1"/>
      <c r="S4457" s="1"/>
      <c r="AD4457" s="1"/>
      <c r="AE4457" s="1"/>
    </row>
    <row r="4458" spans="18:31" ht="75" customHeight="1">
      <c r="R4458" s="1"/>
      <c r="S4458" s="1"/>
      <c r="AD4458" s="1"/>
      <c r="AE4458" s="1"/>
    </row>
    <row r="4459" spans="18:31" ht="75" customHeight="1">
      <c r="R4459" s="1"/>
      <c r="S4459" s="1"/>
      <c r="AD4459" s="1"/>
      <c r="AE4459" s="1"/>
    </row>
    <row r="4460" spans="18:31" ht="75" customHeight="1">
      <c r="R4460" s="1"/>
      <c r="S4460" s="1"/>
      <c r="AD4460" s="1"/>
      <c r="AE4460" s="1"/>
    </row>
    <row r="4461" spans="18:31" ht="75" customHeight="1">
      <c r="R4461" s="1"/>
      <c r="S4461" s="1"/>
      <c r="AD4461" s="1"/>
      <c r="AE4461" s="1"/>
    </row>
    <row r="4462" spans="18:31" ht="75" customHeight="1">
      <c r="R4462" s="1"/>
      <c r="S4462" s="1"/>
      <c r="AD4462" s="1"/>
      <c r="AE4462" s="1"/>
    </row>
    <row r="4463" spans="18:31" ht="75" customHeight="1">
      <c r="R4463" s="1"/>
      <c r="S4463" s="1"/>
      <c r="AD4463" s="1"/>
      <c r="AE4463" s="1"/>
    </row>
    <row r="4464" spans="18:31" ht="75" customHeight="1">
      <c r="R4464" s="1"/>
      <c r="S4464" s="1"/>
      <c r="AD4464" s="1"/>
      <c r="AE4464" s="1"/>
    </row>
    <row r="4465" spans="18:31" ht="75" customHeight="1">
      <c r="R4465" s="1"/>
      <c r="S4465" s="1"/>
      <c r="AD4465" s="1"/>
      <c r="AE4465" s="1"/>
    </row>
    <row r="4466" spans="18:31" ht="75" customHeight="1">
      <c r="R4466" s="1"/>
      <c r="S4466" s="1"/>
      <c r="AD4466" s="1"/>
      <c r="AE4466" s="1"/>
    </row>
    <row r="4467" spans="18:31" ht="75" customHeight="1">
      <c r="R4467" s="1"/>
      <c r="S4467" s="1"/>
      <c r="AD4467" s="1"/>
      <c r="AE4467" s="1"/>
    </row>
    <row r="4468" spans="18:31" ht="75" customHeight="1">
      <c r="R4468" s="1"/>
      <c r="S4468" s="1"/>
      <c r="AD4468" s="1"/>
      <c r="AE4468" s="1"/>
    </row>
    <row r="4469" spans="18:31" ht="75" customHeight="1">
      <c r="R4469" s="1"/>
      <c r="S4469" s="1"/>
      <c r="AD4469" s="1"/>
      <c r="AE4469" s="1"/>
    </row>
    <row r="4470" spans="18:31" ht="75" customHeight="1">
      <c r="R4470" s="1"/>
      <c r="S4470" s="1"/>
      <c r="AD4470" s="1"/>
      <c r="AE4470" s="1"/>
    </row>
    <row r="4471" spans="18:31" ht="75" customHeight="1">
      <c r="R4471" s="1"/>
      <c r="S4471" s="1"/>
      <c r="AD4471" s="1"/>
      <c r="AE4471" s="1"/>
    </row>
    <row r="4472" spans="18:31" ht="75" customHeight="1">
      <c r="R4472" s="1"/>
      <c r="S4472" s="1"/>
      <c r="AD4472" s="1"/>
      <c r="AE4472" s="1"/>
    </row>
    <row r="4473" spans="18:31" ht="75" customHeight="1">
      <c r="R4473" s="1"/>
      <c r="S4473" s="1"/>
      <c r="AD4473" s="1"/>
      <c r="AE4473" s="1"/>
    </row>
    <row r="4474" spans="18:31" ht="75" customHeight="1">
      <c r="R4474" s="1"/>
      <c r="S4474" s="1"/>
      <c r="AD4474" s="1"/>
      <c r="AE4474" s="1"/>
    </row>
    <row r="4475" spans="18:31" ht="75" customHeight="1">
      <c r="R4475" s="1"/>
      <c r="S4475" s="1"/>
      <c r="AD4475" s="1"/>
      <c r="AE4475" s="1"/>
    </row>
    <row r="4476" spans="18:31" ht="75" customHeight="1">
      <c r="R4476" s="1"/>
      <c r="S4476" s="1"/>
      <c r="AD4476" s="1"/>
      <c r="AE4476" s="1"/>
    </row>
    <row r="4477" spans="18:31" ht="75" customHeight="1">
      <c r="R4477" s="1"/>
      <c r="S4477" s="1"/>
      <c r="AD4477" s="1"/>
      <c r="AE4477" s="1"/>
    </row>
    <row r="4478" spans="18:31" ht="75" customHeight="1">
      <c r="R4478" s="1"/>
      <c r="S4478" s="1"/>
      <c r="AD4478" s="1"/>
      <c r="AE4478" s="1"/>
    </row>
    <row r="4479" spans="18:31" ht="75" customHeight="1">
      <c r="R4479" s="1"/>
      <c r="S4479" s="1"/>
      <c r="AD4479" s="1"/>
      <c r="AE4479" s="1"/>
    </row>
    <row r="4480" spans="18:31" ht="75" customHeight="1">
      <c r="R4480" s="1"/>
      <c r="S4480" s="1"/>
      <c r="AD4480" s="1"/>
      <c r="AE4480" s="1"/>
    </row>
    <row r="4481" spans="18:31" ht="75" customHeight="1">
      <c r="R4481" s="1"/>
      <c r="S4481" s="1"/>
      <c r="AD4481" s="1"/>
      <c r="AE4481" s="1"/>
    </row>
    <row r="4482" spans="18:31" ht="75" customHeight="1">
      <c r="R4482" s="1"/>
      <c r="S4482" s="1"/>
      <c r="AD4482" s="1"/>
      <c r="AE4482" s="1"/>
    </row>
    <row r="4483" spans="18:31" ht="75" customHeight="1">
      <c r="R4483" s="1"/>
      <c r="S4483" s="1"/>
      <c r="AD4483" s="1"/>
      <c r="AE4483" s="1"/>
    </row>
    <row r="4484" spans="18:31" ht="75" customHeight="1">
      <c r="R4484" s="1"/>
      <c r="S4484" s="1"/>
      <c r="AD4484" s="1"/>
      <c r="AE4484" s="1"/>
    </row>
    <row r="4485" spans="18:31" ht="75" customHeight="1">
      <c r="R4485" s="1"/>
      <c r="S4485" s="1"/>
      <c r="AD4485" s="1"/>
      <c r="AE4485" s="1"/>
    </row>
    <row r="4486" spans="18:31" ht="75" customHeight="1">
      <c r="R4486" s="1"/>
      <c r="S4486" s="1"/>
      <c r="AD4486" s="1"/>
      <c r="AE4486" s="1"/>
    </row>
    <row r="4487" spans="18:31" ht="75" customHeight="1">
      <c r="R4487" s="1"/>
      <c r="S4487" s="1"/>
      <c r="AD4487" s="1"/>
      <c r="AE4487" s="1"/>
    </row>
    <row r="4488" spans="18:31" ht="75" customHeight="1">
      <c r="R4488" s="1"/>
      <c r="S4488" s="1"/>
      <c r="AD4488" s="1"/>
      <c r="AE4488" s="1"/>
    </row>
    <row r="4489" spans="18:31" ht="75" customHeight="1">
      <c r="R4489" s="1"/>
      <c r="S4489" s="1"/>
      <c r="AD4489" s="1"/>
      <c r="AE4489" s="1"/>
    </row>
    <row r="4490" spans="18:31" ht="75" customHeight="1">
      <c r="R4490" s="1"/>
      <c r="S4490" s="1"/>
      <c r="AD4490" s="1"/>
      <c r="AE4490" s="1"/>
    </row>
    <row r="4491" spans="18:31" ht="75" customHeight="1">
      <c r="R4491" s="1"/>
      <c r="S4491" s="1"/>
      <c r="AD4491" s="1"/>
      <c r="AE4491" s="1"/>
    </row>
    <row r="4492" spans="18:31" ht="75" customHeight="1">
      <c r="R4492" s="1"/>
      <c r="S4492" s="1"/>
      <c r="AD4492" s="1"/>
      <c r="AE4492" s="1"/>
    </row>
    <row r="4493" spans="18:31" ht="75" customHeight="1">
      <c r="R4493" s="1"/>
      <c r="S4493" s="1"/>
      <c r="AD4493" s="1"/>
      <c r="AE4493" s="1"/>
    </row>
    <row r="4494" spans="18:31" ht="75" customHeight="1">
      <c r="R4494" s="1"/>
      <c r="S4494" s="1"/>
      <c r="AD4494" s="1"/>
      <c r="AE4494" s="1"/>
    </row>
    <row r="4495" spans="18:31" ht="75" customHeight="1">
      <c r="R4495" s="1"/>
      <c r="S4495" s="1"/>
      <c r="AD4495" s="1"/>
      <c r="AE4495" s="1"/>
    </row>
    <row r="4496" spans="18:31" ht="75" customHeight="1">
      <c r="R4496" s="1"/>
      <c r="S4496" s="1"/>
      <c r="AD4496" s="1"/>
      <c r="AE4496" s="1"/>
    </row>
    <row r="4497" spans="18:31" ht="75" customHeight="1">
      <c r="R4497" s="1"/>
      <c r="S4497" s="1"/>
      <c r="AD4497" s="1"/>
      <c r="AE4497" s="1"/>
    </row>
    <row r="4498" spans="18:31" ht="75" customHeight="1">
      <c r="R4498" s="1"/>
      <c r="S4498" s="1"/>
      <c r="AD4498" s="1"/>
      <c r="AE4498" s="1"/>
    </row>
    <row r="4499" spans="18:31" ht="75" customHeight="1">
      <c r="R4499" s="1"/>
      <c r="S4499" s="1"/>
      <c r="AD4499" s="1"/>
      <c r="AE4499" s="1"/>
    </row>
    <row r="4500" spans="18:31" ht="75" customHeight="1">
      <c r="R4500" s="1"/>
      <c r="S4500" s="1"/>
      <c r="AD4500" s="1"/>
      <c r="AE4500" s="1"/>
    </row>
    <row r="4501" spans="18:31" ht="75" customHeight="1">
      <c r="R4501" s="1"/>
      <c r="S4501" s="1"/>
      <c r="AD4501" s="1"/>
      <c r="AE4501" s="1"/>
    </row>
    <row r="4502" spans="18:31" ht="75" customHeight="1">
      <c r="R4502" s="1"/>
      <c r="S4502" s="1"/>
      <c r="AD4502" s="1"/>
      <c r="AE4502" s="1"/>
    </row>
    <row r="4503" spans="18:31" ht="75" customHeight="1">
      <c r="R4503" s="1"/>
      <c r="S4503" s="1"/>
      <c r="AD4503" s="1"/>
      <c r="AE4503" s="1"/>
    </row>
    <row r="4504" spans="18:31" ht="75" customHeight="1">
      <c r="R4504" s="1"/>
      <c r="S4504" s="1"/>
      <c r="AD4504" s="1"/>
      <c r="AE4504" s="1"/>
    </row>
    <row r="4505" spans="18:31" ht="75" customHeight="1">
      <c r="R4505" s="1"/>
      <c r="S4505" s="1"/>
      <c r="AD4505" s="1"/>
      <c r="AE4505" s="1"/>
    </row>
    <row r="4506" spans="18:31" ht="75" customHeight="1">
      <c r="R4506" s="1"/>
      <c r="S4506" s="1"/>
      <c r="AD4506" s="1"/>
      <c r="AE4506" s="1"/>
    </row>
    <row r="4507" spans="18:31" ht="75" customHeight="1">
      <c r="R4507" s="1"/>
      <c r="S4507" s="1"/>
      <c r="AD4507" s="1"/>
      <c r="AE4507" s="1"/>
    </row>
    <row r="4508" spans="18:31" ht="75" customHeight="1">
      <c r="R4508" s="1"/>
      <c r="S4508" s="1"/>
      <c r="AD4508" s="1"/>
      <c r="AE4508" s="1"/>
    </row>
    <row r="4509" spans="18:31" ht="75" customHeight="1">
      <c r="R4509" s="1"/>
      <c r="S4509" s="1"/>
      <c r="AD4509" s="1"/>
      <c r="AE4509" s="1"/>
    </row>
    <row r="4510" spans="18:31" ht="75" customHeight="1">
      <c r="R4510" s="1"/>
      <c r="S4510" s="1"/>
      <c r="AD4510" s="1"/>
      <c r="AE4510" s="1"/>
    </row>
    <row r="4511" spans="18:31" ht="75" customHeight="1">
      <c r="R4511" s="1"/>
      <c r="S4511" s="1"/>
      <c r="AD4511" s="1"/>
      <c r="AE4511" s="1"/>
    </row>
    <row r="4512" spans="18:31" ht="75" customHeight="1">
      <c r="R4512" s="1"/>
      <c r="S4512" s="1"/>
      <c r="AD4512" s="1"/>
      <c r="AE4512" s="1"/>
    </row>
    <row r="4513" spans="18:31" ht="75" customHeight="1">
      <c r="R4513" s="1"/>
      <c r="S4513" s="1"/>
      <c r="AD4513" s="1"/>
      <c r="AE4513" s="1"/>
    </row>
    <row r="4514" spans="18:31" ht="75" customHeight="1">
      <c r="R4514" s="1"/>
      <c r="S4514" s="1"/>
      <c r="AD4514" s="1"/>
      <c r="AE4514" s="1"/>
    </row>
    <row r="4515" spans="18:31" ht="75" customHeight="1">
      <c r="R4515" s="1"/>
      <c r="S4515" s="1"/>
      <c r="AD4515" s="1"/>
      <c r="AE4515" s="1"/>
    </row>
    <row r="4516" spans="18:31" ht="75" customHeight="1">
      <c r="R4516" s="1"/>
      <c r="S4516" s="1"/>
      <c r="AD4516" s="1"/>
      <c r="AE4516" s="1"/>
    </row>
    <row r="4517" spans="18:31" ht="75" customHeight="1">
      <c r="R4517" s="1"/>
      <c r="S4517" s="1"/>
      <c r="AD4517" s="1"/>
      <c r="AE4517" s="1"/>
    </row>
    <row r="4518" spans="18:31" ht="75" customHeight="1">
      <c r="R4518" s="1"/>
      <c r="S4518" s="1"/>
      <c r="AD4518" s="1"/>
      <c r="AE4518" s="1"/>
    </row>
    <row r="4519" spans="18:31" ht="75" customHeight="1">
      <c r="R4519" s="1"/>
      <c r="S4519" s="1"/>
      <c r="AD4519" s="1"/>
      <c r="AE4519" s="1"/>
    </row>
    <row r="4520" spans="18:31" ht="75" customHeight="1">
      <c r="R4520" s="1"/>
      <c r="S4520" s="1"/>
      <c r="AD4520" s="1"/>
      <c r="AE4520" s="1"/>
    </row>
    <row r="4521" spans="18:31" ht="75" customHeight="1">
      <c r="R4521" s="1"/>
      <c r="S4521" s="1"/>
      <c r="AD4521" s="1"/>
      <c r="AE4521" s="1"/>
    </row>
    <row r="4522" spans="18:31" ht="75" customHeight="1">
      <c r="R4522" s="1"/>
      <c r="S4522" s="1"/>
      <c r="AD4522" s="1"/>
      <c r="AE4522" s="1"/>
    </row>
    <row r="4523" spans="18:31" ht="75" customHeight="1">
      <c r="R4523" s="1"/>
      <c r="S4523" s="1"/>
      <c r="AD4523" s="1"/>
      <c r="AE4523" s="1"/>
    </row>
    <row r="4524" spans="18:31" ht="75" customHeight="1">
      <c r="R4524" s="1"/>
      <c r="S4524" s="1"/>
      <c r="AD4524" s="1"/>
      <c r="AE4524" s="1"/>
    </row>
    <row r="4525" spans="18:31" ht="75" customHeight="1">
      <c r="R4525" s="1"/>
      <c r="S4525" s="1"/>
      <c r="AD4525" s="1"/>
      <c r="AE4525" s="1"/>
    </row>
    <row r="4526" spans="18:31" ht="75" customHeight="1">
      <c r="R4526" s="1"/>
      <c r="S4526" s="1"/>
      <c r="AD4526" s="1"/>
      <c r="AE4526" s="1"/>
    </row>
    <row r="4527" spans="18:31" ht="75" customHeight="1">
      <c r="R4527" s="1"/>
      <c r="S4527" s="1"/>
      <c r="AD4527" s="1"/>
      <c r="AE4527" s="1"/>
    </row>
    <row r="4528" spans="18:31" ht="75" customHeight="1">
      <c r="R4528" s="1"/>
      <c r="S4528" s="1"/>
      <c r="AD4528" s="1"/>
      <c r="AE4528" s="1"/>
    </row>
    <row r="4529" spans="18:31" ht="75" customHeight="1">
      <c r="R4529" s="1"/>
      <c r="S4529" s="1"/>
      <c r="AD4529" s="1"/>
      <c r="AE4529" s="1"/>
    </row>
    <row r="4530" spans="18:31" ht="75" customHeight="1">
      <c r="R4530" s="1"/>
      <c r="S4530" s="1"/>
      <c r="AD4530" s="1"/>
      <c r="AE4530" s="1"/>
    </row>
    <row r="4531" spans="18:31" ht="75" customHeight="1">
      <c r="R4531" s="1"/>
      <c r="S4531" s="1"/>
      <c r="AD4531" s="1"/>
      <c r="AE4531" s="1"/>
    </row>
    <row r="4532" spans="18:31" ht="75" customHeight="1">
      <c r="R4532" s="1"/>
      <c r="S4532" s="1"/>
      <c r="AD4532" s="1"/>
      <c r="AE4532" s="1"/>
    </row>
    <row r="4533" spans="18:31" ht="75" customHeight="1">
      <c r="R4533" s="1"/>
      <c r="S4533" s="1"/>
      <c r="AD4533" s="1"/>
      <c r="AE4533" s="1"/>
    </row>
    <row r="4534" spans="18:31" ht="75" customHeight="1">
      <c r="R4534" s="1"/>
      <c r="S4534" s="1"/>
      <c r="AD4534" s="1"/>
      <c r="AE4534" s="1"/>
    </row>
    <row r="4535" spans="18:31" ht="75" customHeight="1">
      <c r="R4535" s="1"/>
      <c r="S4535" s="1"/>
      <c r="AD4535" s="1"/>
      <c r="AE4535" s="1"/>
    </row>
    <row r="4536" spans="18:31" ht="75" customHeight="1">
      <c r="R4536" s="1"/>
      <c r="S4536" s="1"/>
      <c r="AD4536" s="1"/>
      <c r="AE4536" s="1"/>
    </row>
    <row r="4537" spans="18:31" ht="75" customHeight="1">
      <c r="R4537" s="1"/>
      <c r="S4537" s="1"/>
      <c r="AD4537" s="1"/>
      <c r="AE4537" s="1"/>
    </row>
    <row r="4538" spans="18:31" ht="75" customHeight="1">
      <c r="R4538" s="1"/>
      <c r="S4538" s="1"/>
      <c r="AD4538" s="1"/>
      <c r="AE4538" s="1"/>
    </row>
    <row r="4539" spans="18:31" ht="75" customHeight="1">
      <c r="R4539" s="1"/>
      <c r="S4539" s="1"/>
      <c r="AD4539" s="1"/>
      <c r="AE4539" s="1"/>
    </row>
    <row r="4540" spans="18:31" ht="75" customHeight="1">
      <c r="R4540" s="1"/>
      <c r="S4540" s="1"/>
      <c r="AD4540" s="1"/>
      <c r="AE4540" s="1"/>
    </row>
    <row r="4541" spans="18:31" ht="75" customHeight="1">
      <c r="R4541" s="1"/>
      <c r="S4541" s="1"/>
      <c r="AD4541" s="1"/>
      <c r="AE4541" s="1"/>
    </row>
    <row r="4542" spans="18:31" ht="75" customHeight="1">
      <c r="R4542" s="1"/>
      <c r="S4542" s="1"/>
      <c r="AD4542" s="1"/>
      <c r="AE4542" s="1"/>
    </row>
    <row r="4543" spans="18:31" ht="75" customHeight="1">
      <c r="R4543" s="1"/>
      <c r="S4543" s="1"/>
      <c r="AD4543" s="1"/>
      <c r="AE4543" s="1"/>
    </row>
    <row r="4544" spans="18:31" ht="75" customHeight="1">
      <c r="R4544" s="1"/>
      <c r="S4544" s="1"/>
      <c r="AD4544" s="1"/>
      <c r="AE4544" s="1"/>
    </row>
    <row r="4545" spans="18:31" ht="75" customHeight="1">
      <c r="R4545" s="1"/>
      <c r="S4545" s="1"/>
      <c r="AD4545" s="1"/>
      <c r="AE4545" s="1"/>
    </row>
    <row r="4546" spans="18:31" ht="75" customHeight="1">
      <c r="R4546" s="1"/>
      <c r="S4546" s="1"/>
      <c r="AD4546" s="1"/>
      <c r="AE4546" s="1"/>
    </row>
    <row r="4547" spans="18:31" ht="75" customHeight="1">
      <c r="R4547" s="1"/>
      <c r="S4547" s="1"/>
      <c r="AD4547" s="1"/>
      <c r="AE4547" s="1"/>
    </row>
    <row r="4548" spans="18:31" ht="75" customHeight="1">
      <c r="R4548" s="1"/>
      <c r="S4548" s="1"/>
      <c r="AD4548" s="1"/>
      <c r="AE4548" s="1"/>
    </row>
    <row r="4549" spans="18:31" ht="75" customHeight="1">
      <c r="R4549" s="1"/>
      <c r="S4549" s="1"/>
      <c r="AD4549" s="1"/>
      <c r="AE4549" s="1"/>
    </row>
    <row r="4550" spans="18:31" ht="75" customHeight="1">
      <c r="R4550" s="1"/>
      <c r="S4550" s="1"/>
      <c r="AD4550" s="1"/>
      <c r="AE4550" s="1"/>
    </row>
    <row r="4551" spans="18:31" ht="75" customHeight="1">
      <c r="R4551" s="1"/>
      <c r="S4551" s="1"/>
      <c r="AD4551" s="1"/>
      <c r="AE4551" s="1"/>
    </row>
    <row r="4552" spans="18:31" ht="75" customHeight="1">
      <c r="R4552" s="1"/>
      <c r="S4552" s="1"/>
      <c r="AD4552" s="1"/>
      <c r="AE4552" s="1"/>
    </row>
    <row r="4553" spans="18:31" ht="75" customHeight="1">
      <c r="R4553" s="1"/>
      <c r="S4553" s="1"/>
      <c r="AD4553" s="1"/>
      <c r="AE4553" s="1"/>
    </row>
    <row r="4554" spans="18:31" ht="75" customHeight="1">
      <c r="R4554" s="1"/>
      <c r="S4554" s="1"/>
      <c r="AD4554" s="1"/>
      <c r="AE4554" s="1"/>
    </row>
    <row r="4555" spans="18:31" ht="75" customHeight="1">
      <c r="R4555" s="1"/>
      <c r="S4555" s="1"/>
      <c r="AD4555" s="1"/>
      <c r="AE4555" s="1"/>
    </row>
    <row r="4556" spans="18:31" ht="75" customHeight="1">
      <c r="R4556" s="1"/>
      <c r="S4556" s="1"/>
      <c r="AD4556" s="1"/>
      <c r="AE4556" s="1"/>
    </row>
    <row r="4557" spans="18:31" ht="75" customHeight="1">
      <c r="R4557" s="1"/>
      <c r="S4557" s="1"/>
      <c r="AD4557" s="1"/>
      <c r="AE4557" s="1"/>
    </row>
    <row r="4558" spans="18:31" ht="75" customHeight="1">
      <c r="R4558" s="1"/>
      <c r="S4558" s="1"/>
      <c r="AD4558" s="1"/>
      <c r="AE4558" s="1"/>
    </row>
    <row r="4559" spans="18:31" ht="75" customHeight="1">
      <c r="R4559" s="1"/>
      <c r="S4559" s="1"/>
      <c r="AD4559" s="1"/>
      <c r="AE4559" s="1"/>
    </row>
    <row r="4560" spans="18:31" ht="75" customHeight="1">
      <c r="R4560" s="1"/>
      <c r="S4560" s="1"/>
      <c r="AD4560" s="1"/>
      <c r="AE4560" s="1"/>
    </row>
    <row r="4561" spans="18:31" ht="75" customHeight="1">
      <c r="R4561" s="1"/>
      <c r="S4561" s="1"/>
      <c r="AD4561" s="1"/>
      <c r="AE4561" s="1"/>
    </row>
    <row r="4562" spans="18:31" ht="75" customHeight="1">
      <c r="R4562" s="1"/>
      <c r="S4562" s="1"/>
      <c r="AD4562" s="1"/>
      <c r="AE4562" s="1"/>
    </row>
    <row r="4563" spans="18:31" ht="75" customHeight="1">
      <c r="R4563" s="1"/>
      <c r="S4563" s="1"/>
      <c r="AD4563" s="1"/>
      <c r="AE4563" s="1"/>
    </row>
    <row r="4564" spans="18:31" ht="75" customHeight="1">
      <c r="R4564" s="1"/>
      <c r="S4564" s="1"/>
      <c r="AD4564" s="1"/>
      <c r="AE4564" s="1"/>
    </row>
    <row r="4565" spans="18:31" ht="75" customHeight="1">
      <c r="R4565" s="1"/>
      <c r="S4565" s="1"/>
      <c r="AD4565" s="1"/>
      <c r="AE4565" s="1"/>
    </row>
    <row r="4566" spans="18:31" ht="75" customHeight="1">
      <c r="R4566" s="1"/>
      <c r="S4566" s="1"/>
      <c r="AD4566" s="1"/>
      <c r="AE4566" s="1"/>
    </row>
    <row r="4567" spans="18:31" ht="75" customHeight="1">
      <c r="R4567" s="1"/>
      <c r="S4567" s="1"/>
      <c r="AD4567" s="1"/>
      <c r="AE4567" s="1"/>
    </row>
    <row r="4568" spans="18:31" ht="75" customHeight="1">
      <c r="R4568" s="1"/>
      <c r="S4568" s="1"/>
      <c r="AD4568" s="1"/>
      <c r="AE4568" s="1"/>
    </row>
    <row r="4569" spans="18:31" ht="75" customHeight="1">
      <c r="R4569" s="1"/>
      <c r="S4569" s="1"/>
      <c r="AD4569" s="1"/>
      <c r="AE4569" s="1"/>
    </row>
    <row r="4570" spans="18:31" ht="75" customHeight="1">
      <c r="R4570" s="1"/>
      <c r="S4570" s="1"/>
      <c r="AD4570" s="1"/>
      <c r="AE4570" s="1"/>
    </row>
    <row r="4571" spans="18:31" ht="75" customHeight="1">
      <c r="R4571" s="1"/>
      <c r="S4571" s="1"/>
      <c r="AD4571" s="1"/>
      <c r="AE4571" s="1"/>
    </row>
    <row r="4572" spans="18:31" ht="75" customHeight="1">
      <c r="R4572" s="1"/>
      <c r="S4572" s="1"/>
      <c r="AD4572" s="1"/>
      <c r="AE4572" s="1"/>
    </row>
    <row r="4573" spans="18:31" ht="75" customHeight="1">
      <c r="R4573" s="1"/>
      <c r="S4573" s="1"/>
      <c r="AD4573" s="1"/>
      <c r="AE4573" s="1"/>
    </row>
    <row r="4574" spans="18:31" ht="75" customHeight="1">
      <c r="R4574" s="1"/>
      <c r="S4574" s="1"/>
      <c r="AD4574" s="1"/>
      <c r="AE4574" s="1"/>
    </row>
    <row r="4575" spans="18:31" ht="75" customHeight="1">
      <c r="R4575" s="1"/>
      <c r="S4575" s="1"/>
      <c r="AD4575" s="1"/>
      <c r="AE4575" s="1"/>
    </row>
    <row r="4576" spans="18:31" ht="75" customHeight="1">
      <c r="R4576" s="1"/>
      <c r="S4576" s="1"/>
      <c r="AD4576" s="1"/>
      <c r="AE4576" s="1"/>
    </row>
    <row r="4577" spans="18:31" ht="75" customHeight="1">
      <c r="R4577" s="1"/>
      <c r="S4577" s="1"/>
      <c r="AD4577" s="1"/>
      <c r="AE4577" s="1"/>
    </row>
    <row r="4578" spans="18:31" ht="75" customHeight="1">
      <c r="R4578" s="1"/>
      <c r="S4578" s="1"/>
      <c r="AD4578" s="1"/>
      <c r="AE4578" s="1"/>
    </row>
    <row r="4579" spans="18:31" ht="75" customHeight="1">
      <c r="R4579" s="1"/>
      <c r="S4579" s="1"/>
      <c r="AD4579" s="1"/>
      <c r="AE4579" s="1"/>
    </row>
    <row r="4580" spans="18:31" ht="75" customHeight="1">
      <c r="R4580" s="1"/>
      <c r="S4580" s="1"/>
      <c r="AD4580" s="1"/>
      <c r="AE4580" s="1"/>
    </row>
    <row r="4581" spans="18:31" ht="75" customHeight="1">
      <c r="R4581" s="1"/>
      <c r="S4581" s="1"/>
      <c r="AD4581" s="1"/>
      <c r="AE4581" s="1"/>
    </row>
    <row r="4582" spans="18:31" ht="75" customHeight="1">
      <c r="R4582" s="1"/>
      <c r="S4582" s="1"/>
      <c r="AD4582" s="1"/>
      <c r="AE4582" s="1"/>
    </row>
    <row r="4583" spans="18:31" ht="75" customHeight="1">
      <c r="R4583" s="1"/>
      <c r="S4583" s="1"/>
      <c r="AD4583" s="1"/>
      <c r="AE4583" s="1"/>
    </row>
    <row r="4584" spans="18:31" ht="75" customHeight="1">
      <c r="R4584" s="1"/>
      <c r="S4584" s="1"/>
      <c r="AD4584" s="1"/>
      <c r="AE4584" s="1"/>
    </row>
    <row r="4585" spans="18:31" ht="75" customHeight="1">
      <c r="R4585" s="1"/>
      <c r="S4585" s="1"/>
      <c r="AD4585" s="1"/>
      <c r="AE4585" s="1"/>
    </row>
    <row r="4586" spans="18:31" ht="75" customHeight="1">
      <c r="R4586" s="1"/>
      <c r="S4586" s="1"/>
      <c r="AD4586" s="1"/>
      <c r="AE4586" s="1"/>
    </row>
    <row r="4587" spans="18:31" ht="75" customHeight="1">
      <c r="R4587" s="1"/>
      <c r="S4587" s="1"/>
      <c r="AD4587" s="1"/>
      <c r="AE4587" s="1"/>
    </row>
    <row r="4588" spans="18:31" ht="75" customHeight="1">
      <c r="R4588" s="1"/>
      <c r="S4588" s="1"/>
      <c r="AD4588" s="1"/>
      <c r="AE4588" s="1"/>
    </row>
    <row r="4589" spans="18:31" ht="75" customHeight="1">
      <c r="R4589" s="1"/>
      <c r="S4589" s="1"/>
      <c r="AD4589" s="1"/>
      <c r="AE4589" s="1"/>
    </row>
    <row r="4590" spans="18:31" ht="75" customHeight="1">
      <c r="R4590" s="1"/>
      <c r="S4590" s="1"/>
      <c r="AD4590" s="1"/>
      <c r="AE4590" s="1"/>
    </row>
    <row r="4591" spans="18:31" ht="75" customHeight="1">
      <c r="R4591" s="1"/>
      <c r="S4591" s="1"/>
      <c r="AD4591" s="1"/>
      <c r="AE4591" s="1"/>
    </row>
    <row r="4592" spans="18:31" ht="75" customHeight="1">
      <c r="R4592" s="1"/>
      <c r="S4592" s="1"/>
      <c r="AD4592" s="1"/>
      <c r="AE4592" s="1"/>
    </row>
    <row r="4593" spans="18:31" ht="75" customHeight="1">
      <c r="R4593" s="1"/>
      <c r="S4593" s="1"/>
      <c r="AD4593" s="1"/>
      <c r="AE4593" s="1"/>
    </row>
    <row r="4594" spans="18:31" ht="75" customHeight="1">
      <c r="R4594" s="1"/>
      <c r="S4594" s="1"/>
      <c r="AD4594" s="1"/>
      <c r="AE4594" s="1"/>
    </row>
    <row r="4595" spans="18:31" ht="75" customHeight="1">
      <c r="R4595" s="1"/>
      <c r="S4595" s="1"/>
      <c r="AD4595" s="1"/>
      <c r="AE4595" s="1"/>
    </row>
    <row r="4596" spans="18:31" ht="75" customHeight="1">
      <c r="R4596" s="1"/>
      <c r="S4596" s="1"/>
      <c r="AD4596" s="1"/>
      <c r="AE4596" s="1"/>
    </row>
    <row r="4597" spans="18:31" ht="75" customHeight="1">
      <c r="R4597" s="1"/>
      <c r="S4597" s="1"/>
      <c r="AD4597" s="1"/>
      <c r="AE4597" s="1"/>
    </row>
    <row r="4598" spans="18:31" ht="75" customHeight="1">
      <c r="R4598" s="1"/>
      <c r="S4598" s="1"/>
      <c r="AD4598" s="1"/>
      <c r="AE4598" s="1"/>
    </row>
    <row r="4599" spans="18:31" ht="75" customHeight="1">
      <c r="R4599" s="1"/>
      <c r="S4599" s="1"/>
      <c r="AD4599" s="1"/>
      <c r="AE4599" s="1"/>
    </row>
    <row r="4600" spans="18:31" ht="75" customHeight="1">
      <c r="R4600" s="1"/>
      <c r="S4600" s="1"/>
      <c r="AD4600" s="1"/>
      <c r="AE4600" s="1"/>
    </row>
    <row r="4601" spans="18:31" ht="75" customHeight="1">
      <c r="R4601" s="1"/>
      <c r="S4601" s="1"/>
      <c r="AD4601" s="1"/>
      <c r="AE4601" s="1"/>
    </row>
    <row r="4602" spans="18:31" ht="75" customHeight="1">
      <c r="R4602" s="1"/>
      <c r="S4602" s="1"/>
      <c r="AD4602" s="1"/>
      <c r="AE4602" s="1"/>
    </row>
    <row r="4603" spans="18:31" ht="75" customHeight="1">
      <c r="R4603" s="1"/>
      <c r="S4603" s="1"/>
      <c r="AD4603" s="1"/>
      <c r="AE4603" s="1"/>
    </row>
    <row r="4604" spans="18:31" ht="75" customHeight="1">
      <c r="R4604" s="1"/>
      <c r="S4604" s="1"/>
      <c r="AD4604" s="1"/>
      <c r="AE4604" s="1"/>
    </row>
    <row r="4605" spans="18:31" ht="75" customHeight="1">
      <c r="R4605" s="1"/>
      <c r="S4605" s="1"/>
      <c r="AD4605" s="1"/>
      <c r="AE4605" s="1"/>
    </row>
    <row r="4606" spans="18:31" ht="75" customHeight="1">
      <c r="R4606" s="1"/>
      <c r="S4606" s="1"/>
      <c r="AD4606" s="1"/>
      <c r="AE4606" s="1"/>
    </row>
    <row r="4607" spans="18:31" ht="75" customHeight="1">
      <c r="R4607" s="1"/>
      <c r="S4607" s="1"/>
      <c r="AD4607" s="1"/>
      <c r="AE4607" s="1"/>
    </row>
    <row r="4608" spans="18:31" ht="75" customHeight="1">
      <c r="R4608" s="1"/>
      <c r="S4608" s="1"/>
      <c r="AD4608" s="1"/>
      <c r="AE4608" s="1"/>
    </row>
    <row r="4609" spans="18:31" ht="75" customHeight="1">
      <c r="R4609" s="1"/>
      <c r="S4609" s="1"/>
      <c r="AD4609" s="1"/>
      <c r="AE4609" s="1"/>
    </row>
    <row r="4610" spans="18:31" ht="75" customHeight="1">
      <c r="R4610" s="1"/>
      <c r="S4610" s="1"/>
      <c r="AD4610" s="1"/>
      <c r="AE4610" s="1"/>
    </row>
    <row r="4611" spans="18:31" ht="75" customHeight="1">
      <c r="R4611" s="1"/>
      <c r="S4611" s="1"/>
      <c r="AD4611" s="1"/>
      <c r="AE4611" s="1"/>
    </row>
    <row r="4612" spans="18:31" ht="75" customHeight="1">
      <c r="R4612" s="1"/>
      <c r="S4612" s="1"/>
      <c r="AD4612" s="1"/>
      <c r="AE4612" s="1"/>
    </row>
    <row r="4613" spans="18:31" ht="75" customHeight="1">
      <c r="R4613" s="1"/>
      <c r="S4613" s="1"/>
      <c r="AD4613" s="1"/>
      <c r="AE4613" s="1"/>
    </row>
    <row r="4614" spans="18:31" ht="75" customHeight="1">
      <c r="R4614" s="1"/>
      <c r="S4614" s="1"/>
      <c r="AD4614" s="1"/>
      <c r="AE4614" s="1"/>
    </row>
    <row r="4615" spans="18:31" ht="75" customHeight="1">
      <c r="R4615" s="1"/>
      <c r="S4615" s="1"/>
      <c r="AD4615" s="1"/>
      <c r="AE4615" s="1"/>
    </row>
    <row r="4616" spans="18:31" ht="75" customHeight="1">
      <c r="R4616" s="1"/>
      <c r="S4616" s="1"/>
      <c r="AD4616" s="1"/>
      <c r="AE4616" s="1"/>
    </row>
    <row r="4617" spans="18:31" ht="75" customHeight="1">
      <c r="R4617" s="1"/>
      <c r="S4617" s="1"/>
      <c r="AD4617" s="1"/>
      <c r="AE4617" s="1"/>
    </row>
    <row r="4618" spans="18:31" ht="75" customHeight="1">
      <c r="R4618" s="1"/>
      <c r="S4618" s="1"/>
      <c r="AD4618" s="1"/>
      <c r="AE4618" s="1"/>
    </row>
    <row r="4619" spans="18:31" ht="75" customHeight="1">
      <c r="R4619" s="1"/>
      <c r="S4619" s="1"/>
      <c r="AD4619" s="1"/>
      <c r="AE4619" s="1"/>
    </row>
    <row r="4620" spans="18:31" ht="75" customHeight="1">
      <c r="R4620" s="1"/>
      <c r="S4620" s="1"/>
      <c r="AD4620" s="1"/>
      <c r="AE4620" s="1"/>
    </row>
    <row r="4621" spans="18:31" ht="75" customHeight="1">
      <c r="R4621" s="1"/>
      <c r="S4621" s="1"/>
      <c r="AD4621" s="1"/>
      <c r="AE4621" s="1"/>
    </row>
    <row r="4622" spans="18:31" ht="75" customHeight="1">
      <c r="R4622" s="1"/>
      <c r="S4622" s="1"/>
      <c r="AD4622" s="1"/>
      <c r="AE4622" s="1"/>
    </row>
    <row r="4623" spans="18:31" ht="75" customHeight="1">
      <c r="R4623" s="1"/>
      <c r="S4623" s="1"/>
      <c r="AD4623" s="1"/>
      <c r="AE4623" s="1"/>
    </row>
    <row r="4624" spans="18:31" ht="75" customHeight="1">
      <c r="R4624" s="1"/>
      <c r="S4624" s="1"/>
      <c r="AD4624" s="1"/>
      <c r="AE4624" s="1"/>
    </row>
    <row r="4625" spans="18:31" ht="75" customHeight="1">
      <c r="R4625" s="1"/>
      <c r="S4625" s="1"/>
      <c r="AD4625" s="1"/>
      <c r="AE4625" s="1"/>
    </row>
    <row r="4626" spans="18:31" ht="75" customHeight="1">
      <c r="R4626" s="1"/>
      <c r="S4626" s="1"/>
      <c r="AD4626" s="1"/>
      <c r="AE4626" s="1"/>
    </row>
    <row r="4627" spans="18:31" ht="75" customHeight="1">
      <c r="R4627" s="1"/>
      <c r="S4627" s="1"/>
      <c r="AD4627" s="1"/>
      <c r="AE4627" s="1"/>
    </row>
    <row r="4628" spans="18:31" ht="75" customHeight="1">
      <c r="R4628" s="1"/>
      <c r="S4628" s="1"/>
      <c r="AD4628" s="1"/>
      <c r="AE4628" s="1"/>
    </row>
    <row r="4629" spans="18:31" ht="75" customHeight="1">
      <c r="R4629" s="1"/>
      <c r="S4629" s="1"/>
      <c r="AD4629" s="1"/>
      <c r="AE4629" s="1"/>
    </row>
    <row r="4630" spans="18:31" ht="75" customHeight="1">
      <c r="R4630" s="1"/>
      <c r="S4630" s="1"/>
      <c r="AD4630" s="1"/>
      <c r="AE4630" s="1"/>
    </row>
    <row r="4631" spans="18:31" ht="75" customHeight="1">
      <c r="R4631" s="1"/>
      <c r="S4631" s="1"/>
      <c r="AD4631" s="1"/>
      <c r="AE4631" s="1"/>
    </row>
    <row r="4632" spans="18:31" ht="75" customHeight="1">
      <c r="R4632" s="1"/>
      <c r="S4632" s="1"/>
      <c r="AD4632" s="1"/>
      <c r="AE4632" s="1"/>
    </row>
    <row r="4633" spans="18:31" ht="75" customHeight="1">
      <c r="R4633" s="1"/>
      <c r="S4633" s="1"/>
      <c r="AD4633" s="1"/>
      <c r="AE4633" s="1"/>
    </row>
    <row r="4634" spans="18:31" ht="75" customHeight="1">
      <c r="R4634" s="1"/>
      <c r="S4634" s="1"/>
      <c r="AD4634" s="1"/>
      <c r="AE4634" s="1"/>
    </row>
    <row r="4635" spans="18:31" ht="75" customHeight="1">
      <c r="R4635" s="1"/>
      <c r="S4635" s="1"/>
      <c r="AD4635" s="1"/>
      <c r="AE4635" s="1"/>
    </row>
    <row r="4636" spans="18:31" ht="75" customHeight="1">
      <c r="R4636" s="1"/>
      <c r="S4636" s="1"/>
      <c r="AD4636" s="1"/>
      <c r="AE4636" s="1"/>
    </row>
    <row r="4637" spans="18:31" ht="75" customHeight="1">
      <c r="R4637" s="1"/>
      <c r="S4637" s="1"/>
      <c r="AD4637" s="1"/>
      <c r="AE4637" s="1"/>
    </row>
    <row r="4638" spans="18:31" ht="75" customHeight="1">
      <c r="R4638" s="1"/>
      <c r="S4638" s="1"/>
      <c r="AD4638" s="1"/>
      <c r="AE4638" s="1"/>
    </row>
    <row r="4639" spans="18:31" ht="75" customHeight="1">
      <c r="R4639" s="1"/>
      <c r="S4639" s="1"/>
      <c r="AD4639" s="1"/>
      <c r="AE4639" s="1"/>
    </row>
    <row r="4640" spans="18:31" ht="75" customHeight="1">
      <c r="R4640" s="1"/>
      <c r="S4640" s="1"/>
      <c r="AD4640" s="1"/>
      <c r="AE4640" s="1"/>
    </row>
    <row r="4641" spans="18:31" ht="75" customHeight="1">
      <c r="R4641" s="1"/>
      <c r="S4641" s="1"/>
      <c r="AD4641" s="1"/>
      <c r="AE4641" s="1"/>
    </row>
    <row r="4642" spans="18:31" ht="75" customHeight="1">
      <c r="R4642" s="1"/>
      <c r="S4642" s="1"/>
      <c r="AD4642" s="1"/>
      <c r="AE4642" s="1"/>
    </row>
    <row r="4643" spans="18:31" ht="75" customHeight="1">
      <c r="R4643" s="1"/>
      <c r="S4643" s="1"/>
      <c r="AD4643" s="1"/>
      <c r="AE4643" s="1"/>
    </row>
    <row r="4644" spans="18:31" ht="75" customHeight="1">
      <c r="R4644" s="1"/>
      <c r="S4644" s="1"/>
      <c r="AD4644" s="1"/>
      <c r="AE4644" s="1"/>
    </row>
    <row r="4645" spans="18:31" ht="75" customHeight="1">
      <c r="R4645" s="1"/>
      <c r="S4645" s="1"/>
      <c r="AD4645" s="1"/>
      <c r="AE4645" s="1"/>
    </row>
    <row r="4646" spans="18:31" ht="75" customHeight="1">
      <c r="R4646" s="1"/>
      <c r="S4646" s="1"/>
      <c r="AD4646" s="1"/>
      <c r="AE4646" s="1"/>
    </row>
    <row r="4647" spans="18:31" ht="75" customHeight="1">
      <c r="R4647" s="1"/>
      <c r="S4647" s="1"/>
      <c r="AD4647" s="1"/>
      <c r="AE4647" s="1"/>
    </row>
    <row r="4648" spans="18:31" ht="75" customHeight="1">
      <c r="R4648" s="1"/>
      <c r="S4648" s="1"/>
      <c r="AD4648" s="1"/>
      <c r="AE4648" s="1"/>
    </row>
    <row r="4649" spans="18:31" ht="75" customHeight="1">
      <c r="R4649" s="1"/>
      <c r="S4649" s="1"/>
      <c r="AD4649" s="1"/>
      <c r="AE4649" s="1"/>
    </row>
    <row r="4650" spans="18:31" ht="75" customHeight="1">
      <c r="R4650" s="1"/>
      <c r="S4650" s="1"/>
      <c r="AD4650" s="1"/>
      <c r="AE4650" s="1"/>
    </row>
    <row r="4651" spans="18:31" ht="75" customHeight="1">
      <c r="R4651" s="1"/>
      <c r="S4651" s="1"/>
      <c r="AD4651" s="1"/>
      <c r="AE4651" s="1"/>
    </row>
    <row r="4652" spans="18:31" ht="75" customHeight="1">
      <c r="R4652" s="1"/>
      <c r="S4652" s="1"/>
      <c r="AD4652" s="1"/>
      <c r="AE4652" s="1"/>
    </row>
    <row r="4653" spans="18:31" ht="75" customHeight="1">
      <c r="R4653" s="1"/>
      <c r="S4653" s="1"/>
      <c r="AD4653" s="1"/>
      <c r="AE4653" s="1"/>
    </row>
    <row r="4654" spans="18:31" ht="75" customHeight="1">
      <c r="R4654" s="1"/>
      <c r="S4654" s="1"/>
      <c r="AD4654" s="1"/>
      <c r="AE4654" s="1"/>
    </row>
    <row r="4655" spans="18:31" ht="75" customHeight="1">
      <c r="R4655" s="1"/>
      <c r="S4655" s="1"/>
      <c r="AD4655" s="1"/>
      <c r="AE4655" s="1"/>
    </row>
    <row r="4656" spans="18:31" ht="75" customHeight="1">
      <c r="R4656" s="1"/>
      <c r="S4656" s="1"/>
      <c r="AD4656" s="1"/>
      <c r="AE4656" s="1"/>
    </row>
    <row r="4657" spans="18:31" ht="75" customHeight="1">
      <c r="R4657" s="1"/>
      <c r="S4657" s="1"/>
      <c r="AD4657" s="1"/>
      <c r="AE4657" s="1"/>
    </row>
    <row r="4658" spans="18:31" ht="75" customHeight="1">
      <c r="R4658" s="1"/>
      <c r="S4658" s="1"/>
      <c r="AD4658" s="1"/>
      <c r="AE4658" s="1"/>
    </row>
    <row r="4659" spans="18:31" ht="75" customHeight="1">
      <c r="R4659" s="1"/>
      <c r="S4659" s="1"/>
      <c r="AD4659" s="1"/>
      <c r="AE4659" s="1"/>
    </row>
    <row r="4660" spans="18:31" ht="75" customHeight="1">
      <c r="R4660" s="1"/>
      <c r="S4660" s="1"/>
      <c r="AD4660" s="1"/>
      <c r="AE4660" s="1"/>
    </row>
    <row r="4661" spans="18:31" ht="75" customHeight="1">
      <c r="R4661" s="1"/>
      <c r="S4661" s="1"/>
      <c r="AD4661" s="1"/>
      <c r="AE4661" s="1"/>
    </row>
    <row r="4662" spans="18:31" ht="75" customHeight="1">
      <c r="R4662" s="1"/>
      <c r="S4662" s="1"/>
      <c r="AD4662" s="1"/>
      <c r="AE4662" s="1"/>
    </row>
    <row r="4663" spans="18:31" ht="75" customHeight="1">
      <c r="R4663" s="1"/>
      <c r="S4663" s="1"/>
      <c r="AD4663" s="1"/>
      <c r="AE4663" s="1"/>
    </row>
    <row r="4664" spans="18:31" ht="75" customHeight="1">
      <c r="R4664" s="1"/>
      <c r="S4664" s="1"/>
      <c r="AD4664" s="1"/>
      <c r="AE4664" s="1"/>
    </row>
    <row r="4665" spans="18:31" ht="75" customHeight="1">
      <c r="R4665" s="1"/>
      <c r="S4665" s="1"/>
      <c r="AD4665" s="1"/>
      <c r="AE4665" s="1"/>
    </row>
    <row r="4666" spans="18:31" ht="75" customHeight="1">
      <c r="R4666" s="1"/>
      <c r="S4666" s="1"/>
      <c r="AD4666" s="1"/>
      <c r="AE4666" s="1"/>
    </row>
    <row r="4667" spans="18:31" ht="75" customHeight="1">
      <c r="R4667" s="1"/>
      <c r="S4667" s="1"/>
      <c r="AD4667" s="1"/>
      <c r="AE4667" s="1"/>
    </row>
    <row r="4668" spans="18:31" ht="75" customHeight="1">
      <c r="R4668" s="1"/>
      <c r="S4668" s="1"/>
      <c r="AD4668" s="1"/>
      <c r="AE4668" s="1"/>
    </row>
    <row r="4669" spans="18:31" ht="75" customHeight="1">
      <c r="R4669" s="1"/>
      <c r="S4669" s="1"/>
      <c r="AD4669" s="1"/>
      <c r="AE4669" s="1"/>
    </row>
    <row r="4670" spans="18:31" ht="75" customHeight="1">
      <c r="R4670" s="1"/>
      <c r="S4670" s="1"/>
      <c r="AD4670" s="1"/>
      <c r="AE4670" s="1"/>
    </row>
    <row r="4671" spans="18:31" ht="75" customHeight="1">
      <c r="R4671" s="1"/>
      <c r="S4671" s="1"/>
      <c r="AD4671" s="1"/>
      <c r="AE4671" s="1"/>
    </row>
    <row r="4672" spans="18:31" ht="75" customHeight="1">
      <c r="R4672" s="1"/>
      <c r="S4672" s="1"/>
      <c r="AD4672" s="1"/>
      <c r="AE4672" s="1"/>
    </row>
    <row r="4673" spans="18:31" ht="75" customHeight="1">
      <c r="R4673" s="1"/>
      <c r="S4673" s="1"/>
      <c r="AD4673" s="1"/>
      <c r="AE4673" s="1"/>
    </row>
    <row r="4674" spans="18:31" ht="75" customHeight="1">
      <c r="R4674" s="1"/>
      <c r="S4674" s="1"/>
      <c r="AD4674" s="1"/>
      <c r="AE4674" s="1"/>
    </row>
    <row r="4675" spans="18:31" ht="75" customHeight="1">
      <c r="R4675" s="1"/>
      <c r="S4675" s="1"/>
      <c r="AD4675" s="1"/>
      <c r="AE4675" s="1"/>
    </row>
    <row r="4676" spans="18:31" ht="75" customHeight="1">
      <c r="R4676" s="1"/>
      <c r="S4676" s="1"/>
      <c r="AD4676" s="1"/>
      <c r="AE4676" s="1"/>
    </row>
    <row r="4677" spans="18:31" ht="75" customHeight="1">
      <c r="R4677" s="1"/>
      <c r="S4677" s="1"/>
      <c r="AD4677" s="1"/>
      <c r="AE4677" s="1"/>
    </row>
    <row r="4678" spans="18:31" ht="75" customHeight="1">
      <c r="R4678" s="1"/>
      <c r="S4678" s="1"/>
      <c r="AD4678" s="1"/>
      <c r="AE4678" s="1"/>
    </row>
    <row r="4679" spans="18:31" ht="75" customHeight="1">
      <c r="R4679" s="1"/>
      <c r="S4679" s="1"/>
      <c r="AD4679" s="1"/>
      <c r="AE4679" s="1"/>
    </row>
    <row r="4680" spans="18:31" ht="75" customHeight="1">
      <c r="R4680" s="1"/>
      <c r="S4680" s="1"/>
      <c r="AD4680" s="1"/>
      <c r="AE4680" s="1"/>
    </row>
    <row r="4681" spans="18:31" ht="75" customHeight="1">
      <c r="R4681" s="1"/>
      <c r="S4681" s="1"/>
      <c r="AD4681" s="1"/>
      <c r="AE4681" s="1"/>
    </row>
    <row r="4682" spans="18:31" ht="75" customHeight="1">
      <c r="R4682" s="1"/>
      <c r="S4682" s="1"/>
      <c r="AD4682" s="1"/>
      <c r="AE4682" s="1"/>
    </row>
    <row r="4683" spans="18:31" ht="75" customHeight="1">
      <c r="R4683" s="1"/>
      <c r="S4683" s="1"/>
      <c r="AD4683" s="1"/>
      <c r="AE4683" s="1"/>
    </row>
    <row r="4684" spans="18:31" ht="75" customHeight="1">
      <c r="R4684" s="1"/>
      <c r="S4684" s="1"/>
      <c r="AD4684" s="1"/>
      <c r="AE4684" s="1"/>
    </row>
    <row r="4685" spans="18:31" ht="75" customHeight="1">
      <c r="R4685" s="1"/>
      <c r="S4685" s="1"/>
      <c r="AD4685" s="1"/>
      <c r="AE4685" s="1"/>
    </row>
    <row r="4686" spans="18:31" ht="75" customHeight="1">
      <c r="R4686" s="1"/>
      <c r="S4686" s="1"/>
      <c r="AD4686" s="1"/>
      <c r="AE4686" s="1"/>
    </row>
    <row r="4687" spans="18:31" ht="75" customHeight="1">
      <c r="R4687" s="1"/>
      <c r="S4687" s="1"/>
      <c r="AD4687" s="1"/>
      <c r="AE4687" s="1"/>
    </row>
    <row r="4688" spans="18:31" ht="75" customHeight="1">
      <c r="R4688" s="1"/>
      <c r="S4688" s="1"/>
      <c r="AD4688" s="1"/>
      <c r="AE4688" s="1"/>
    </row>
    <row r="4689" spans="18:31" ht="75" customHeight="1">
      <c r="R4689" s="1"/>
      <c r="S4689" s="1"/>
      <c r="AD4689" s="1"/>
      <c r="AE4689" s="1"/>
    </row>
    <row r="4690" spans="18:31" ht="75" customHeight="1">
      <c r="R4690" s="1"/>
      <c r="S4690" s="1"/>
      <c r="AD4690" s="1"/>
      <c r="AE4690" s="1"/>
    </row>
    <row r="4691" spans="18:31" ht="75" customHeight="1">
      <c r="R4691" s="1"/>
      <c r="S4691" s="1"/>
      <c r="AD4691" s="1"/>
      <c r="AE4691" s="1"/>
    </row>
    <row r="4692" spans="18:31" ht="75" customHeight="1">
      <c r="R4692" s="1"/>
      <c r="S4692" s="1"/>
      <c r="AD4692" s="1"/>
      <c r="AE4692" s="1"/>
    </row>
    <row r="4693" spans="18:31" ht="75" customHeight="1">
      <c r="R4693" s="1"/>
      <c r="S4693" s="1"/>
      <c r="AD4693" s="1"/>
      <c r="AE4693" s="1"/>
    </row>
    <row r="4694" spans="18:31" ht="75" customHeight="1">
      <c r="R4694" s="1"/>
      <c r="S4694" s="1"/>
      <c r="AD4694" s="1"/>
      <c r="AE4694" s="1"/>
    </row>
    <row r="4695" spans="18:31" ht="75" customHeight="1">
      <c r="R4695" s="1"/>
      <c r="S4695" s="1"/>
      <c r="AD4695" s="1"/>
      <c r="AE4695" s="1"/>
    </row>
    <row r="4696" spans="18:31" ht="75" customHeight="1">
      <c r="R4696" s="1"/>
      <c r="S4696" s="1"/>
      <c r="AD4696" s="1"/>
      <c r="AE4696" s="1"/>
    </row>
    <row r="4697" spans="18:31" ht="75" customHeight="1">
      <c r="R4697" s="1"/>
      <c r="S4697" s="1"/>
      <c r="AD4697" s="1"/>
      <c r="AE4697" s="1"/>
    </row>
    <row r="4698" spans="18:31" ht="75" customHeight="1">
      <c r="R4698" s="1"/>
      <c r="S4698" s="1"/>
      <c r="AD4698" s="1"/>
      <c r="AE4698" s="1"/>
    </row>
    <row r="4699" spans="18:31" ht="75" customHeight="1">
      <c r="R4699" s="1"/>
      <c r="S4699" s="1"/>
      <c r="AD4699" s="1"/>
      <c r="AE4699" s="1"/>
    </row>
    <row r="4700" spans="18:31" ht="75" customHeight="1">
      <c r="R4700" s="1"/>
      <c r="S4700" s="1"/>
      <c r="AD4700" s="1"/>
      <c r="AE4700" s="1"/>
    </row>
    <row r="4701" spans="18:31" ht="75" customHeight="1">
      <c r="R4701" s="1"/>
      <c r="S4701" s="1"/>
      <c r="AD4701" s="1"/>
      <c r="AE4701" s="1"/>
    </row>
    <row r="4702" spans="18:31" ht="75" customHeight="1">
      <c r="R4702" s="1"/>
      <c r="S4702" s="1"/>
      <c r="AD4702" s="1"/>
      <c r="AE4702" s="1"/>
    </row>
    <row r="4703" spans="18:31" ht="75" customHeight="1">
      <c r="R4703" s="1"/>
      <c r="S4703" s="1"/>
      <c r="AD4703" s="1"/>
      <c r="AE4703" s="1"/>
    </row>
    <row r="4704" spans="18:31" ht="75" customHeight="1">
      <c r="R4704" s="1"/>
      <c r="S4704" s="1"/>
      <c r="AD4704" s="1"/>
      <c r="AE4704" s="1"/>
    </row>
    <row r="4705" spans="18:31" ht="75" customHeight="1">
      <c r="R4705" s="1"/>
      <c r="S4705" s="1"/>
      <c r="AD4705" s="1"/>
      <c r="AE4705" s="1"/>
    </row>
    <row r="4706" spans="18:31" ht="75" customHeight="1">
      <c r="R4706" s="1"/>
      <c r="S4706" s="1"/>
      <c r="AD4706" s="1"/>
      <c r="AE4706" s="1"/>
    </row>
    <row r="4707" spans="18:31" ht="75" customHeight="1">
      <c r="R4707" s="1"/>
      <c r="S4707" s="1"/>
      <c r="AD4707" s="1"/>
      <c r="AE4707" s="1"/>
    </row>
    <row r="4708" spans="18:31" ht="75" customHeight="1">
      <c r="R4708" s="1"/>
      <c r="S4708" s="1"/>
      <c r="AD4708" s="1"/>
      <c r="AE4708" s="1"/>
    </row>
    <row r="4709" spans="18:31" ht="75" customHeight="1">
      <c r="R4709" s="1"/>
      <c r="S4709" s="1"/>
      <c r="AD4709" s="1"/>
      <c r="AE4709" s="1"/>
    </row>
    <row r="4710" spans="18:31" ht="75" customHeight="1">
      <c r="R4710" s="1"/>
      <c r="S4710" s="1"/>
      <c r="AD4710" s="1"/>
      <c r="AE4710" s="1"/>
    </row>
    <row r="4711" spans="18:31" ht="75" customHeight="1">
      <c r="R4711" s="1"/>
      <c r="S4711" s="1"/>
      <c r="AD4711" s="1"/>
      <c r="AE4711" s="1"/>
    </row>
    <row r="4712" spans="18:31" ht="75" customHeight="1">
      <c r="R4712" s="1"/>
      <c r="S4712" s="1"/>
      <c r="AD4712" s="1"/>
      <c r="AE4712" s="1"/>
    </row>
    <row r="4713" spans="18:31" ht="75" customHeight="1">
      <c r="R4713" s="1"/>
      <c r="S4713" s="1"/>
      <c r="AD4713" s="1"/>
      <c r="AE4713" s="1"/>
    </row>
    <row r="4714" spans="18:31" ht="75" customHeight="1">
      <c r="R4714" s="1"/>
      <c r="S4714" s="1"/>
      <c r="AD4714" s="1"/>
      <c r="AE4714" s="1"/>
    </row>
    <row r="4715" spans="18:31" ht="75" customHeight="1">
      <c r="R4715" s="1"/>
      <c r="S4715" s="1"/>
      <c r="AD4715" s="1"/>
      <c r="AE4715" s="1"/>
    </row>
    <row r="4716" spans="18:31" ht="75" customHeight="1">
      <c r="R4716" s="1"/>
      <c r="S4716" s="1"/>
      <c r="AD4716" s="1"/>
      <c r="AE4716" s="1"/>
    </row>
    <row r="4717" spans="18:31" ht="75" customHeight="1">
      <c r="R4717" s="1"/>
      <c r="S4717" s="1"/>
      <c r="AD4717" s="1"/>
      <c r="AE4717" s="1"/>
    </row>
    <row r="4718" spans="18:31" ht="75" customHeight="1">
      <c r="R4718" s="1"/>
      <c r="S4718" s="1"/>
      <c r="AD4718" s="1"/>
      <c r="AE4718" s="1"/>
    </row>
    <row r="4719" spans="18:31" ht="75" customHeight="1">
      <c r="R4719" s="1"/>
      <c r="S4719" s="1"/>
      <c r="AD4719" s="1"/>
      <c r="AE4719" s="1"/>
    </row>
    <row r="4720" spans="18:31" ht="75" customHeight="1">
      <c r="R4720" s="1"/>
      <c r="S4720" s="1"/>
      <c r="AD4720" s="1"/>
      <c r="AE4720" s="1"/>
    </row>
    <row r="4721" spans="18:31" ht="75" customHeight="1">
      <c r="R4721" s="1"/>
      <c r="S4721" s="1"/>
      <c r="AD4721" s="1"/>
      <c r="AE4721" s="1"/>
    </row>
    <row r="4722" spans="18:31" ht="75" customHeight="1">
      <c r="R4722" s="1"/>
      <c r="S4722" s="1"/>
      <c r="AD4722" s="1"/>
      <c r="AE4722" s="1"/>
    </row>
    <row r="4723" spans="18:31" ht="75" customHeight="1">
      <c r="R4723" s="1"/>
      <c r="S4723" s="1"/>
      <c r="AD4723" s="1"/>
      <c r="AE4723" s="1"/>
    </row>
    <row r="4724" spans="18:31" ht="75" customHeight="1">
      <c r="R4724" s="1"/>
      <c r="S4724" s="1"/>
      <c r="AD4724" s="1"/>
      <c r="AE4724" s="1"/>
    </row>
    <row r="4725" spans="18:31" ht="75" customHeight="1">
      <c r="R4725" s="1"/>
      <c r="S4725" s="1"/>
      <c r="AD4725" s="1"/>
      <c r="AE4725" s="1"/>
    </row>
    <row r="4726" spans="18:31" ht="75" customHeight="1">
      <c r="R4726" s="1"/>
      <c r="S4726" s="1"/>
      <c r="AD4726" s="1"/>
      <c r="AE4726" s="1"/>
    </row>
    <row r="4727" spans="18:31" ht="75" customHeight="1">
      <c r="R4727" s="1"/>
      <c r="S4727" s="1"/>
      <c r="AD4727" s="1"/>
      <c r="AE4727" s="1"/>
    </row>
    <row r="4728" spans="18:31" ht="75" customHeight="1">
      <c r="R4728" s="1"/>
      <c r="S4728" s="1"/>
      <c r="AD4728" s="1"/>
      <c r="AE4728" s="1"/>
    </row>
    <row r="4729" spans="18:31" ht="75" customHeight="1">
      <c r="R4729" s="1"/>
      <c r="S4729" s="1"/>
      <c r="AD4729" s="1"/>
      <c r="AE4729" s="1"/>
    </row>
    <row r="4730" spans="18:31" ht="75" customHeight="1">
      <c r="R4730" s="1"/>
      <c r="S4730" s="1"/>
      <c r="AD4730" s="1"/>
      <c r="AE4730" s="1"/>
    </row>
    <row r="4731" spans="18:31" ht="75" customHeight="1">
      <c r="R4731" s="1"/>
      <c r="S4731" s="1"/>
      <c r="AD4731" s="1"/>
      <c r="AE4731" s="1"/>
    </row>
    <row r="4732" spans="18:31" ht="75" customHeight="1">
      <c r="R4732" s="1"/>
      <c r="S4732" s="1"/>
      <c r="AD4732" s="1"/>
      <c r="AE4732" s="1"/>
    </row>
    <row r="4733" spans="18:31" ht="75" customHeight="1">
      <c r="R4733" s="1"/>
      <c r="S4733" s="1"/>
      <c r="AD4733" s="1"/>
      <c r="AE4733" s="1"/>
    </row>
    <row r="4734" spans="18:31" ht="75" customHeight="1">
      <c r="R4734" s="1"/>
      <c r="S4734" s="1"/>
      <c r="AD4734" s="1"/>
      <c r="AE4734" s="1"/>
    </row>
    <row r="4735" spans="18:31" ht="75" customHeight="1">
      <c r="R4735" s="1"/>
      <c r="S4735" s="1"/>
      <c r="AD4735" s="1"/>
      <c r="AE4735" s="1"/>
    </row>
    <row r="4736" spans="18:31" ht="75" customHeight="1">
      <c r="R4736" s="1"/>
      <c r="S4736" s="1"/>
      <c r="AD4736" s="1"/>
      <c r="AE4736" s="1"/>
    </row>
    <row r="4737" spans="18:31" ht="75" customHeight="1">
      <c r="R4737" s="1"/>
      <c r="S4737" s="1"/>
      <c r="AD4737" s="1"/>
      <c r="AE4737" s="1"/>
    </row>
    <row r="4738" spans="18:31" ht="75" customHeight="1">
      <c r="R4738" s="1"/>
      <c r="S4738" s="1"/>
      <c r="AD4738" s="1"/>
      <c r="AE4738" s="1"/>
    </row>
    <row r="4739" spans="18:31" ht="75" customHeight="1">
      <c r="R4739" s="1"/>
      <c r="S4739" s="1"/>
      <c r="AD4739" s="1"/>
      <c r="AE4739" s="1"/>
    </row>
    <row r="4740" spans="18:31" ht="75" customHeight="1">
      <c r="R4740" s="1"/>
      <c r="S4740" s="1"/>
      <c r="AD4740" s="1"/>
      <c r="AE4740" s="1"/>
    </row>
    <row r="4741" spans="18:31" ht="75" customHeight="1">
      <c r="R4741" s="1"/>
      <c r="S4741" s="1"/>
      <c r="AD4741" s="1"/>
      <c r="AE4741" s="1"/>
    </row>
    <row r="4742" spans="18:31" ht="75" customHeight="1">
      <c r="R4742" s="1"/>
      <c r="S4742" s="1"/>
      <c r="AD4742" s="1"/>
      <c r="AE4742" s="1"/>
    </row>
    <row r="4743" spans="18:31" ht="75" customHeight="1">
      <c r="R4743" s="1"/>
      <c r="S4743" s="1"/>
      <c r="AD4743" s="1"/>
      <c r="AE4743" s="1"/>
    </row>
    <row r="4744" spans="18:31" ht="75" customHeight="1">
      <c r="R4744" s="1"/>
      <c r="S4744" s="1"/>
      <c r="AD4744" s="1"/>
      <c r="AE4744" s="1"/>
    </row>
    <row r="4745" spans="18:31" ht="75" customHeight="1">
      <c r="R4745" s="1"/>
      <c r="S4745" s="1"/>
      <c r="AD4745" s="1"/>
      <c r="AE4745" s="1"/>
    </row>
    <row r="4746" spans="18:31" ht="75" customHeight="1">
      <c r="R4746" s="1"/>
      <c r="S4746" s="1"/>
      <c r="AD4746" s="1"/>
      <c r="AE4746" s="1"/>
    </row>
    <row r="4747" spans="18:31" ht="75" customHeight="1">
      <c r="R4747" s="1"/>
      <c r="S4747" s="1"/>
      <c r="AD4747" s="1"/>
      <c r="AE4747" s="1"/>
    </row>
    <row r="4748" spans="18:31" ht="75" customHeight="1">
      <c r="R4748" s="1"/>
      <c r="S4748" s="1"/>
      <c r="AD4748" s="1"/>
      <c r="AE4748" s="1"/>
    </row>
    <row r="4749" spans="18:31" ht="75" customHeight="1">
      <c r="R4749" s="1"/>
      <c r="S4749" s="1"/>
      <c r="AD4749" s="1"/>
      <c r="AE4749" s="1"/>
    </row>
    <row r="4750" spans="18:31" ht="75" customHeight="1">
      <c r="R4750" s="1"/>
      <c r="S4750" s="1"/>
      <c r="AD4750" s="1"/>
      <c r="AE4750" s="1"/>
    </row>
    <row r="4751" spans="18:31" ht="75" customHeight="1">
      <c r="R4751" s="1"/>
      <c r="S4751" s="1"/>
      <c r="AD4751" s="1"/>
      <c r="AE4751" s="1"/>
    </row>
    <row r="4752" spans="18:31" ht="75" customHeight="1">
      <c r="R4752" s="1"/>
      <c r="S4752" s="1"/>
      <c r="AD4752" s="1"/>
      <c r="AE4752" s="1"/>
    </row>
    <row r="4753" spans="18:31" ht="75" customHeight="1">
      <c r="R4753" s="1"/>
      <c r="S4753" s="1"/>
      <c r="AD4753" s="1"/>
      <c r="AE4753" s="1"/>
    </row>
    <row r="4754" spans="18:31" ht="75" customHeight="1">
      <c r="R4754" s="1"/>
      <c r="S4754" s="1"/>
      <c r="AD4754" s="1"/>
      <c r="AE4754" s="1"/>
    </row>
    <row r="4755" spans="18:31" ht="75" customHeight="1">
      <c r="R4755" s="1"/>
      <c r="S4755" s="1"/>
      <c r="AD4755" s="1"/>
      <c r="AE4755" s="1"/>
    </row>
    <row r="4756" spans="18:31" ht="75" customHeight="1">
      <c r="R4756" s="1"/>
      <c r="S4756" s="1"/>
      <c r="AD4756" s="1"/>
      <c r="AE4756" s="1"/>
    </row>
    <row r="4757" spans="18:31" ht="75" customHeight="1">
      <c r="R4757" s="1"/>
      <c r="S4757" s="1"/>
      <c r="AD4757" s="1"/>
      <c r="AE4757" s="1"/>
    </row>
    <row r="4758" spans="18:31" ht="75" customHeight="1">
      <c r="R4758" s="1"/>
      <c r="S4758" s="1"/>
      <c r="AD4758" s="1"/>
      <c r="AE4758" s="1"/>
    </row>
    <row r="4759" spans="18:31" ht="75" customHeight="1">
      <c r="R4759" s="1"/>
      <c r="S4759" s="1"/>
      <c r="AD4759" s="1"/>
      <c r="AE4759" s="1"/>
    </row>
    <row r="4760" spans="18:31" ht="75" customHeight="1">
      <c r="R4760" s="1"/>
      <c r="S4760" s="1"/>
      <c r="AD4760" s="1"/>
      <c r="AE4760" s="1"/>
    </row>
    <row r="4761" spans="18:31" ht="75" customHeight="1">
      <c r="R4761" s="1"/>
      <c r="S4761" s="1"/>
      <c r="AD4761" s="1"/>
      <c r="AE4761" s="1"/>
    </row>
    <row r="4762" spans="18:31" ht="75" customHeight="1">
      <c r="R4762" s="1"/>
      <c r="S4762" s="1"/>
      <c r="AD4762" s="1"/>
      <c r="AE4762" s="1"/>
    </row>
    <row r="4763" spans="18:31" ht="75" customHeight="1">
      <c r="R4763" s="1"/>
      <c r="S4763" s="1"/>
      <c r="AD4763" s="1"/>
      <c r="AE4763" s="1"/>
    </row>
    <row r="4764" spans="18:31" ht="75" customHeight="1">
      <c r="R4764" s="1"/>
      <c r="S4764" s="1"/>
      <c r="AD4764" s="1"/>
      <c r="AE4764" s="1"/>
    </row>
    <row r="4765" spans="18:31" ht="75" customHeight="1">
      <c r="R4765" s="1"/>
      <c r="S4765" s="1"/>
      <c r="AD4765" s="1"/>
      <c r="AE4765" s="1"/>
    </row>
    <row r="4766" spans="18:31" ht="75" customHeight="1">
      <c r="R4766" s="1"/>
      <c r="S4766" s="1"/>
      <c r="AD4766" s="1"/>
      <c r="AE4766" s="1"/>
    </row>
    <row r="4767" spans="18:31" ht="75" customHeight="1">
      <c r="R4767" s="1"/>
      <c r="S4767" s="1"/>
      <c r="AD4767" s="1"/>
      <c r="AE4767" s="1"/>
    </row>
    <row r="4768" spans="18:31" ht="75" customHeight="1">
      <c r="R4768" s="1"/>
      <c r="S4768" s="1"/>
      <c r="AD4768" s="1"/>
      <c r="AE4768" s="1"/>
    </row>
    <row r="4769" spans="18:31" ht="75" customHeight="1">
      <c r="R4769" s="1"/>
      <c r="S4769" s="1"/>
      <c r="AD4769" s="1"/>
      <c r="AE4769" s="1"/>
    </row>
    <row r="4770" spans="18:31" ht="75" customHeight="1">
      <c r="R4770" s="1"/>
      <c r="S4770" s="1"/>
      <c r="AD4770" s="1"/>
      <c r="AE4770" s="1"/>
    </row>
    <row r="4771" spans="18:31" ht="75" customHeight="1">
      <c r="R4771" s="1"/>
      <c r="S4771" s="1"/>
      <c r="AD4771" s="1"/>
      <c r="AE4771" s="1"/>
    </row>
    <row r="4772" spans="18:31" ht="75" customHeight="1">
      <c r="R4772" s="1"/>
      <c r="S4772" s="1"/>
      <c r="AD4772" s="1"/>
      <c r="AE4772" s="1"/>
    </row>
    <row r="4773" spans="18:31" ht="75" customHeight="1">
      <c r="R4773" s="1"/>
      <c r="S4773" s="1"/>
      <c r="AD4773" s="1"/>
      <c r="AE4773" s="1"/>
    </row>
    <row r="4774" spans="18:31" ht="75" customHeight="1">
      <c r="R4774" s="1"/>
      <c r="S4774" s="1"/>
      <c r="AD4774" s="1"/>
      <c r="AE4774" s="1"/>
    </row>
    <row r="4775" spans="18:31" ht="75" customHeight="1">
      <c r="R4775" s="1"/>
      <c r="S4775" s="1"/>
      <c r="AD4775" s="1"/>
      <c r="AE4775" s="1"/>
    </row>
    <row r="4776" spans="18:31" ht="75" customHeight="1">
      <c r="R4776" s="1"/>
      <c r="S4776" s="1"/>
      <c r="AD4776" s="1"/>
      <c r="AE4776" s="1"/>
    </row>
    <row r="4777" spans="18:31" ht="75" customHeight="1">
      <c r="R4777" s="1"/>
      <c r="S4777" s="1"/>
      <c r="AD4777" s="1"/>
      <c r="AE4777" s="1"/>
    </row>
    <row r="4778" spans="18:31" ht="75" customHeight="1">
      <c r="R4778" s="1"/>
      <c r="S4778" s="1"/>
      <c r="AD4778" s="1"/>
      <c r="AE4778" s="1"/>
    </row>
    <row r="4779" spans="18:31" ht="75" customHeight="1">
      <c r="R4779" s="1"/>
      <c r="S4779" s="1"/>
      <c r="AD4779" s="1"/>
      <c r="AE4779" s="1"/>
    </row>
    <row r="4780" spans="18:31" ht="75" customHeight="1">
      <c r="R4780" s="1"/>
      <c r="S4780" s="1"/>
      <c r="AD4780" s="1"/>
      <c r="AE4780" s="1"/>
    </row>
    <row r="4781" spans="18:31" ht="75" customHeight="1">
      <c r="R4781" s="1"/>
      <c r="S4781" s="1"/>
      <c r="AD4781" s="1"/>
      <c r="AE4781" s="1"/>
    </row>
    <row r="4782" spans="18:31" ht="75" customHeight="1">
      <c r="R4782" s="1"/>
      <c r="S4782" s="1"/>
      <c r="AD4782" s="1"/>
      <c r="AE4782" s="1"/>
    </row>
    <row r="4783" spans="18:31" ht="75" customHeight="1">
      <c r="R4783" s="1"/>
      <c r="S4783" s="1"/>
      <c r="AD4783" s="1"/>
      <c r="AE4783" s="1"/>
    </row>
    <row r="4784" spans="18:31" ht="75" customHeight="1">
      <c r="R4784" s="1"/>
      <c r="S4784" s="1"/>
      <c r="AD4784" s="1"/>
      <c r="AE4784" s="1"/>
    </row>
    <row r="4785" spans="18:31" ht="75" customHeight="1">
      <c r="R4785" s="1"/>
      <c r="S4785" s="1"/>
      <c r="AD4785" s="1"/>
      <c r="AE4785" s="1"/>
    </row>
    <row r="4786" spans="18:31" ht="75" customHeight="1">
      <c r="R4786" s="1"/>
      <c r="S4786" s="1"/>
      <c r="AD4786" s="1"/>
      <c r="AE4786" s="1"/>
    </row>
    <row r="4787" spans="18:31" ht="75" customHeight="1">
      <c r="R4787" s="1"/>
      <c r="S4787" s="1"/>
      <c r="AD4787" s="1"/>
      <c r="AE4787" s="1"/>
    </row>
    <row r="4788" spans="18:31" ht="75" customHeight="1">
      <c r="R4788" s="1"/>
      <c r="S4788" s="1"/>
      <c r="AD4788" s="1"/>
      <c r="AE4788" s="1"/>
    </row>
    <row r="4789" spans="18:31" ht="75" customHeight="1">
      <c r="R4789" s="1"/>
      <c r="S4789" s="1"/>
      <c r="AD4789" s="1"/>
      <c r="AE4789" s="1"/>
    </row>
    <row r="4790" spans="18:31" ht="75" customHeight="1">
      <c r="R4790" s="1"/>
      <c r="S4790" s="1"/>
      <c r="AD4790" s="1"/>
      <c r="AE4790" s="1"/>
    </row>
    <row r="4791" spans="18:31" ht="75" customHeight="1">
      <c r="R4791" s="1"/>
      <c r="S4791" s="1"/>
      <c r="AD4791" s="1"/>
      <c r="AE4791" s="1"/>
    </row>
    <row r="4792" spans="18:31" ht="75" customHeight="1">
      <c r="R4792" s="1"/>
      <c r="S4792" s="1"/>
      <c r="AD4792" s="1"/>
      <c r="AE4792" s="1"/>
    </row>
    <row r="4793" spans="18:31" ht="75" customHeight="1">
      <c r="R4793" s="1"/>
      <c r="S4793" s="1"/>
      <c r="AD4793" s="1"/>
      <c r="AE4793" s="1"/>
    </row>
    <row r="4794" spans="18:31" ht="75" customHeight="1">
      <c r="R4794" s="1"/>
      <c r="S4794" s="1"/>
      <c r="AD4794" s="1"/>
      <c r="AE4794" s="1"/>
    </row>
    <row r="4795" spans="18:31" ht="75" customHeight="1">
      <c r="R4795" s="1"/>
      <c r="S4795" s="1"/>
      <c r="AD4795" s="1"/>
      <c r="AE4795" s="1"/>
    </row>
    <row r="4796" spans="18:31" ht="75" customHeight="1">
      <c r="R4796" s="1"/>
      <c r="S4796" s="1"/>
      <c r="AD4796" s="1"/>
      <c r="AE4796" s="1"/>
    </row>
    <row r="4797" spans="18:31" ht="75" customHeight="1">
      <c r="R4797" s="1"/>
      <c r="S4797" s="1"/>
      <c r="AD4797" s="1"/>
      <c r="AE4797" s="1"/>
    </row>
    <row r="4798" spans="18:31" ht="75" customHeight="1">
      <c r="R4798" s="1"/>
      <c r="S4798" s="1"/>
      <c r="AD4798" s="1"/>
      <c r="AE4798" s="1"/>
    </row>
    <row r="4799" spans="18:31" ht="75" customHeight="1">
      <c r="R4799" s="1"/>
      <c r="S4799" s="1"/>
      <c r="AD4799" s="1"/>
      <c r="AE4799" s="1"/>
    </row>
    <row r="4800" spans="18:31" ht="75" customHeight="1">
      <c r="R4800" s="1"/>
      <c r="S4800" s="1"/>
      <c r="AD4800" s="1"/>
      <c r="AE4800" s="1"/>
    </row>
    <row r="4801" spans="18:31" ht="75" customHeight="1">
      <c r="R4801" s="1"/>
      <c r="S4801" s="1"/>
      <c r="AD4801" s="1"/>
      <c r="AE4801" s="1"/>
    </row>
    <row r="4802" spans="18:31" ht="75" customHeight="1">
      <c r="R4802" s="1"/>
      <c r="S4802" s="1"/>
      <c r="AD4802" s="1"/>
      <c r="AE4802" s="1"/>
    </row>
    <row r="4803" spans="18:31" ht="75" customHeight="1">
      <c r="R4803" s="1"/>
      <c r="S4803" s="1"/>
      <c r="AD4803" s="1"/>
      <c r="AE4803" s="1"/>
    </row>
    <row r="4804" spans="18:31" ht="75" customHeight="1">
      <c r="R4804" s="1"/>
      <c r="S4804" s="1"/>
      <c r="AD4804" s="1"/>
      <c r="AE4804" s="1"/>
    </row>
    <row r="4805" spans="18:31" ht="75" customHeight="1">
      <c r="R4805" s="1"/>
      <c r="S4805" s="1"/>
      <c r="AD4805" s="1"/>
      <c r="AE4805" s="1"/>
    </row>
    <row r="4806" spans="18:31" ht="75" customHeight="1">
      <c r="R4806" s="1"/>
      <c r="S4806" s="1"/>
      <c r="AD4806" s="1"/>
      <c r="AE4806" s="1"/>
    </row>
    <row r="4807" spans="18:31" ht="75" customHeight="1">
      <c r="R4807" s="1"/>
      <c r="S4807" s="1"/>
      <c r="AD4807" s="1"/>
      <c r="AE4807" s="1"/>
    </row>
    <row r="4808" spans="18:31" ht="75" customHeight="1">
      <c r="R4808" s="1"/>
      <c r="S4808" s="1"/>
      <c r="AD4808" s="1"/>
      <c r="AE4808" s="1"/>
    </row>
    <row r="4809" spans="18:31" ht="75" customHeight="1">
      <c r="R4809" s="1"/>
      <c r="S4809" s="1"/>
      <c r="AD4809" s="1"/>
      <c r="AE4809" s="1"/>
    </row>
    <row r="4810" spans="18:31" ht="75" customHeight="1">
      <c r="R4810" s="1"/>
      <c r="S4810" s="1"/>
      <c r="AD4810" s="1"/>
      <c r="AE4810" s="1"/>
    </row>
    <row r="4811" spans="18:31" ht="75" customHeight="1">
      <c r="R4811" s="1"/>
      <c r="S4811" s="1"/>
      <c r="AD4811" s="1"/>
      <c r="AE4811" s="1"/>
    </row>
    <row r="4812" spans="18:31" ht="75" customHeight="1">
      <c r="R4812" s="1"/>
      <c r="S4812" s="1"/>
      <c r="AD4812" s="1"/>
      <c r="AE4812" s="1"/>
    </row>
    <row r="4813" spans="18:31" ht="75" customHeight="1">
      <c r="R4813" s="1"/>
      <c r="S4813" s="1"/>
      <c r="AD4813" s="1"/>
      <c r="AE4813" s="1"/>
    </row>
    <row r="4814" spans="18:31" ht="75" customHeight="1">
      <c r="R4814" s="1"/>
      <c r="S4814" s="1"/>
      <c r="AD4814" s="1"/>
      <c r="AE4814" s="1"/>
    </row>
    <row r="4815" spans="18:31" ht="75" customHeight="1">
      <c r="R4815" s="1"/>
      <c r="S4815" s="1"/>
      <c r="AD4815" s="1"/>
      <c r="AE4815" s="1"/>
    </row>
    <row r="4816" spans="18:31" ht="75" customHeight="1">
      <c r="R4816" s="1"/>
      <c r="S4816" s="1"/>
      <c r="AD4816" s="1"/>
      <c r="AE4816" s="1"/>
    </row>
    <row r="4817" spans="18:31" ht="75" customHeight="1">
      <c r="R4817" s="1"/>
      <c r="S4817" s="1"/>
      <c r="AD4817" s="1"/>
      <c r="AE4817" s="1"/>
    </row>
    <row r="4818" spans="18:31" ht="75" customHeight="1">
      <c r="R4818" s="1"/>
      <c r="S4818" s="1"/>
      <c r="AD4818" s="1"/>
      <c r="AE4818" s="1"/>
    </row>
    <row r="4819" spans="18:31" ht="75" customHeight="1">
      <c r="R4819" s="1"/>
      <c r="S4819" s="1"/>
      <c r="AD4819" s="1"/>
      <c r="AE4819" s="1"/>
    </row>
    <row r="4820" spans="18:31" ht="75" customHeight="1">
      <c r="R4820" s="1"/>
      <c r="S4820" s="1"/>
      <c r="AD4820" s="1"/>
      <c r="AE4820" s="1"/>
    </row>
    <row r="4821" spans="18:31" ht="75" customHeight="1">
      <c r="R4821" s="1"/>
      <c r="S4821" s="1"/>
      <c r="AD4821" s="1"/>
      <c r="AE4821" s="1"/>
    </row>
    <row r="4822" spans="18:31" ht="75" customHeight="1">
      <c r="R4822" s="1"/>
      <c r="S4822" s="1"/>
      <c r="AD4822" s="1"/>
      <c r="AE4822" s="1"/>
    </row>
    <row r="4823" spans="18:31" ht="75" customHeight="1">
      <c r="R4823" s="1"/>
      <c r="S4823" s="1"/>
      <c r="AD4823" s="1"/>
      <c r="AE4823" s="1"/>
    </row>
    <row r="4824" spans="18:31" ht="75" customHeight="1">
      <c r="R4824" s="1"/>
      <c r="S4824" s="1"/>
      <c r="AD4824" s="1"/>
      <c r="AE4824" s="1"/>
    </row>
    <row r="4825" spans="18:31" ht="75" customHeight="1">
      <c r="R4825" s="1"/>
      <c r="S4825" s="1"/>
      <c r="AD4825" s="1"/>
      <c r="AE4825" s="1"/>
    </row>
    <row r="4826" spans="18:31" ht="75" customHeight="1">
      <c r="R4826" s="1"/>
      <c r="S4826" s="1"/>
      <c r="AD4826" s="1"/>
      <c r="AE4826" s="1"/>
    </row>
    <row r="4827" spans="18:31" ht="75" customHeight="1">
      <c r="R4827" s="1"/>
      <c r="S4827" s="1"/>
      <c r="AD4827" s="1"/>
      <c r="AE4827" s="1"/>
    </row>
    <row r="4828" spans="18:31" ht="75" customHeight="1">
      <c r="R4828" s="1"/>
      <c r="S4828" s="1"/>
      <c r="AD4828" s="1"/>
      <c r="AE4828" s="1"/>
    </row>
    <row r="4829" spans="18:31" ht="75" customHeight="1">
      <c r="R4829" s="1"/>
      <c r="S4829" s="1"/>
      <c r="AD4829" s="1"/>
      <c r="AE4829" s="1"/>
    </row>
    <row r="4830" spans="18:31" ht="75" customHeight="1">
      <c r="R4830" s="1"/>
      <c r="S4830" s="1"/>
      <c r="AD4830" s="1"/>
      <c r="AE4830" s="1"/>
    </row>
    <row r="4831" spans="18:31" ht="75" customHeight="1">
      <c r="R4831" s="1"/>
      <c r="S4831" s="1"/>
      <c r="AD4831" s="1"/>
      <c r="AE4831" s="1"/>
    </row>
    <row r="4832" spans="18:31" ht="75" customHeight="1">
      <c r="R4832" s="1"/>
      <c r="S4832" s="1"/>
      <c r="AD4832" s="1"/>
      <c r="AE4832" s="1"/>
    </row>
    <row r="4833" spans="18:31" ht="75" customHeight="1">
      <c r="R4833" s="1"/>
      <c r="S4833" s="1"/>
      <c r="AD4833" s="1"/>
      <c r="AE4833" s="1"/>
    </row>
    <row r="4834" spans="18:31" ht="75" customHeight="1">
      <c r="R4834" s="1"/>
      <c r="S4834" s="1"/>
      <c r="AD4834" s="1"/>
      <c r="AE4834" s="1"/>
    </row>
    <row r="4835" spans="18:31" ht="75" customHeight="1">
      <c r="R4835" s="1"/>
      <c r="S4835" s="1"/>
      <c r="AD4835" s="1"/>
      <c r="AE4835" s="1"/>
    </row>
    <row r="4836" spans="18:31" ht="75" customHeight="1">
      <c r="R4836" s="1"/>
      <c r="S4836" s="1"/>
      <c r="AD4836" s="1"/>
      <c r="AE4836" s="1"/>
    </row>
    <row r="4837" spans="18:31" ht="75" customHeight="1">
      <c r="R4837" s="1"/>
      <c r="S4837" s="1"/>
      <c r="AD4837" s="1"/>
      <c r="AE4837" s="1"/>
    </row>
    <row r="4838" spans="18:31" ht="75" customHeight="1">
      <c r="R4838" s="1"/>
      <c r="S4838" s="1"/>
      <c r="AD4838" s="1"/>
      <c r="AE4838" s="1"/>
    </row>
    <row r="4839" spans="18:31" ht="75" customHeight="1">
      <c r="R4839" s="1"/>
      <c r="S4839" s="1"/>
      <c r="AD4839" s="1"/>
      <c r="AE4839" s="1"/>
    </row>
    <row r="4840" spans="18:31" ht="75" customHeight="1">
      <c r="R4840" s="1"/>
      <c r="S4840" s="1"/>
      <c r="AD4840" s="1"/>
      <c r="AE4840" s="1"/>
    </row>
    <row r="4841" spans="18:31" ht="75" customHeight="1">
      <c r="R4841" s="1"/>
      <c r="S4841" s="1"/>
      <c r="AD4841" s="1"/>
      <c r="AE4841" s="1"/>
    </row>
    <row r="4842" spans="18:31" ht="75" customHeight="1">
      <c r="R4842" s="1"/>
      <c r="S4842" s="1"/>
      <c r="AD4842" s="1"/>
      <c r="AE4842" s="1"/>
    </row>
    <row r="4843" spans="18:31" ht="75" customHeight="1">
      <c r="R4843" s="1"/>
      <c r="S4843" s="1"/>
      <c r="AD4843" s="1"/>
      <c r="AE4843" s="1"/>
    </row>
    <row r="4844" spans="18:31" ht="75" customHeight="1">
      <c r="R4844" s="1"/>
      <c r="S4844" s="1"/>
      <c r="AD4844" s="1"/>
      <c r="AE4844" s="1"/>
    </row>
    <row r="4845" spans="18:31" ht="75" customHeight="1">
      <c r="R4845" s="1"/>
      <c r="S4845" s="1"/>
      <c r="AD4845" s="1"/>
      <c r="AE4845" s="1"/>
    </row>
    <row r="4846" spans="18:31" ht="75" customHeight="1">
      <c r="R4846" s="1"/>
      <c r="S4846" s="1"/>
      <c r="AD4846" s="1"/>
      <c r="AE4846" s="1"/>
    </row>
    <row r="4847" spans="18:31" ht="75" customHeight="1">
      <c r="R4847" s="1"/>
      <c r="S4847" s="1"/>
      <c r="AD4847" s="1"/>
      <c r="AE4847" s="1"/>
    </row>
    <row r="4848" spans="18:31" ht="75" customHeight="1">
      <c r="R4848" s="1"/>
      <c r="S4848" s="1"/>
      <c r="AD4848" s="1"/>
      <c r="AE4848" s="1"/>
    </row>
    <row r="4849" spans="18:31" ht="75" customHeight="1">
      <c r="R4849" s="1"/>
      <c r="S4849" s="1"/>
      <c r="AD4849" s="1"/>
      <c r="AE4849" s="1"/>
    </row>
    <row r="4850" spans="18:31" ht="75" customHeight="1">
      <c r="R4850" s="1"/>
      <c r="S4850" s="1"/>
      <c r="AD4850" s="1"/>
      <c r="AE4850" s="1"/>
    </row>
    <row r="4851" spans="18:31" ht="75" customHeight="1">
      <c r="R4851" s="1"/>
      <c r="S4851" s="1"/>
      <c r="AD4851" s="1"/>
      <c r="AE4851" s="1"/>
    </row>
    <row r="4852" spans="18:31" ht="75" customHeight="1">
      <c r="R4852" s="1"/>
      <c r="S4852" s="1"/>
      <c r="AD4852" s="1"/>
      <c r="AE4852" s="1"/>
    </row>
    <row r="4853" spans="18:31" ht="75" customHeight="1">
      <c r="R4853" s="1"/>
      <c r="S4853" s="1"/>
      <c r="AD4853" s="1"/>
      <c r="AE4853" s="1"/>
    </row>
    <row r="4854" spans="18:31" ht="75" customHeight="1">
      <c r="R4854" s="1"/>
      <c r="S4854" s="1"/>
      <c r="AD4854" s="1"/>
      <c r="AE4854" s="1"/>
    </row>
    <row r="4855" spans="18:31" ht="75" customHeight="1">
      <c r="R4855" s="1"/>
      <c r="S4855" s="1"/>
      <c r="AD4855" s="1"/>
      <c r="AE4855" s="1"/>
    </row>
    <row r="4856" spans="18:31" ht="75" customHeight="1">
      <c r="R4856" s="1"/>
      <c r="S4856" s="1"/>
      <c r="AD4856" s="1"/>
      <c r="AE4856" s="1"/>
    </row>
    <row r="4857" spans="18:31" ht="75" customHeight="1">
      <c r="R4857" s="1"/>
      <c r="S4857" s="1"/>
      <c r="AD4857" s="1"/>
      <c r="AE4857" s="1"/>
    </row>
    <row r="4858" spans="18:31" ht="75" customHeight="1">
      <c r="R4858" s="1"/>
      <c r="S4858" s="1"/>
      <c r="AD4858" s="1"/>
      <c r="AE4858" s="1"/>
    </row>
    <row r="4859" spans="18:31" ht="75" customHeight="1">
      <c r="R4859" s="1"/>
      <c r="S4859" s="1"/>
      <c r="AD4859" s="1"/>
      <c r="AE4859" s="1"/>
    </row>
    <row r="4860" spans="18:31" ht="75" customHeight="1">
      <c r="R4860" s="1"/>
      <c r="S4860" s="1"/>
      <c r="AD4860" s="1"/>
      <c r="AE4860" s="1"/>
    </row>
    <row r="4861" spans="18:31" ht="75" customHeight="1">
      <c r="R4861" s="1"/>
      <c r="S4861" s="1"/>
      <c r="AD4861" s="1"/>
      <c r="AE4861" s="1"/>
    </row>
    <row r="4862" spans="18:31" ht="75" customHeight="1">
      <c r="R4862" s="1"/>
      <c r="S4862" s="1"/>
      <c r="AD4862" s="1"/>
      <c r="AE4862" s="1"/>
    </row>
    <row r="4863" spans="18:31" ht="75" customHeight="1">
      <c r="R4863" s="1"/>
      <c r="S4863" s="1"/>
      <c r="AD4863" s="1"/>
      <c r="AE4863" s="1"/>
    </row>
    <row r="4864" spans="18:31" ht="75" customHeight="1">
      <c r="R4864" s="1"/>
      <c r="S4864" s="1"/>
      <c r="AD4864" s="1"/>
      <c r="AE4864" s="1"/>
    </row>
    <row r="4865" spans="18:31" ht="75" customHeight="1">
      <c r="R4865" s="1"/>
      <c r="S4865" s="1"/>
      <c r="AD4865" s="1"/>
      <c r="AE4865" s="1"/>
    </row>
    <row r="4866" spans="18:31" ht="75" customHeight="1">
      <c r="R4866" s="1"/>
      <c r="S4866" s="1"/>
      <c r="AD4866" s="1"/>
      <c r="AE4866" s="1"/>
    </row>
    <row r="4867" spans="18:31" ht="75" customHeight="1">
      <c r="R4867" s="1"/>
      <c r="S4867" s="1"/>
      <c r="AD4867" s="1"/>
      <c r="AE4867" s="1"/>
    </row>
    <row r="4868" spans="18:31" ht="75" customHeight="1">
      <c r="R4868" s="1"/>
      <c r="S4868" s="1"/>
      <c r="AD4868" s="1"/>
      <c r="AE4868" s="1"/>
    </row>
    <row r="4869" spans="18:31" ht="75" customHeight="1">
      <c r="R4869" s="1"/>
      <c r="S4869" s="1"/>
      <c r="AD4869" s="1"/>
      <c r="AE4869" s="1"/>
    </row>
    <row r="4870" spans="18:31" ht="75" customHeight="1">
      <c r="R4870" s="1"/>
      <c r="S4870" s="1"/>
      <c r="AD4870" s="1"/>
      <c r="AE4870" s="1"/>
    </row>
    <row r="4871" spans="18:31" ht="75" customHeight="1">
      <c r="R4871" s="1"/>
      <c r="S4871" s="1"/>
      <c r="AD4871" s="1"/>
      <c r="AE4871" s="1"/>
    </row>
    <row r="4872" spans="18:31" ht="75" customHeight="1">
      <c r="R4872" s="1"/>
      <c r="S4872" s="1"/>
      <c r="AD4872" s="1"/>
      <c r="AE4872" s="1"/>
    </row>
    <row r="4873" spans="18:31" ht="75" customHeight="1">
      <c r="R4873" s="1"/>
      <c r="S4873" s="1"/>
      <c r="AD4873" s="1"/>
      <c r="AE4873" s="1"/>
    </row>
    <row r="4874" spans="18:31" ht="75" customHeight="1">
      <c r="R4874" s="1"/>
      <c r="S4874" s="1"/>
      <c r="AD4874" s="1"/>
      <c r="AE4874" s="1"/>
    </row>
    <row r="4875" spans="18:31" ht="75" customHeight="1">
      <c r="R4875" s="1"/>
      <c r="S4875" s="1"/>
      <c r="AD4875" s="1"/>
      <c r="AE4875" s="1"/>
    </row>
    <row r="4876" spans="18:31" ht="75" customHeight="1">
      <c r="R4876" s="1"/>
      <c r="S4876" s="1"/>
      <c r="AD4876" s="1"/>
      <c r="AE4876" s="1"/>
    </row>
    <row r="4877" spans="18:31" ht="75" customHeight="1">
      <c r="R4877" s="1"/>
      <c r="S4877" s="1"/>
      <c r="AD4877" s="1"/>
      <c r="AE4877" s="1"/>
    </row>
    <row r="4878" spans="18:31" ht="75" customHeight="1">
      <c r="R4878" s="1"/>
      <c r="S4878" s="1"/>
      <c r="AD4878" s="1"/>
      <c r="AE4878" s="1"/>
    </row>
    <row r="4879" spans="18:31" ht="75" customHeight="1">
      <c r="R4879" s="1"/>
      <c r="S4879" s="1"/>
      <c r="AD4879" s="1"/>
      <c r="AE4879" s="1"/>
    </row>
    <row r="4880" spans="18:31" ht="75" customHeight="1">
      <c r="R4880" s="1"/>
      <c r="S4880" s="1"/>
      <c r="AD4880" s="1"/>
      <c r="AE4880" s="1"/>
    </row>
    <row r="4881" spans="18:31" ht="75" customHeight="1">
      <c r="R4881" s="1"/>
      <c r="S4881" s="1"/>
      <c r="AD4881" s="1"/>
      <c r="AE4881" s="1"/>
    </row>
    <row r="4882" spans="18:31" ht="75" customHeight="1">
      <c r="R4882" s="1"/>
      <c r="S4882" s="1"/>
      <c r="AD4882" s="1"/>
      <c r="AE4882" s="1"/>
    </row>
    <row r="4883" spans="18:31" ht="75" customHeight="1">
      <c r="R4883" s="1"/>
      <c r="S4883" s="1"/>
      <c r="AD4883" s="1"/>
      <c r="AE4883" s="1"/>
    </row>
    <row r="4884" spans="18:31" ht="75" customHeight="1">
      <c r="R4884" s="1"/>
      <c r="S4884" s="1"/>
      <c r="AD4884" s="1"/>
      <c r="AE4884" s="1"/>
    </row>
    <row r="4885" spans="18:31" ht="75" customHeight="1">
      <c r="R4885" s="1"/>
      <c r="S4885" s="1"/>
      <c r="AD4885" s="1"/>
      <c r="AE4885" s="1"/>
    </row>
    <row r="4886" spans="18:31" ht="75" customHeight="1">
      <c r="R4886" s="1"/>
      <c r="S4886" s="1"/>
      <c r="AD4886" s="1"/>
      <c r="AE4886" s="1"/>
    </row>
    <row r="4887" spans="18:31" ht="75" customHeight="1">
      <c r="R4887" s="1"/>
      <c r="S4887" s="1"/>
      <c r="AD4887" s="1"/>
      <c r="AE4887" s="1"/>
    </row>
    <row r="4888" spans="18:31" ht="75" customHeight="1">
      <c r="R4888" s="1"/>
      <c r="S4888" s="1"/>
      <c r="AD4888" s="1"/>
      <c r="AE4888" s="1"/>
    </row>
    <row r="4889" spans="18:31" ht="75" customHeight="1">
      <c r="R4889" s="1"/>
      <c r="S4889" s="1"/>
      <c r="AD4889" s="1"/>
      <c r="AE4889" s="1"/>
    </row>
    <row r="4890" spans="18:31" ht="75" customHeight="1">
      <c r="R4890" s="1"/>
      <c r="S4890" s="1"/>
      <c r="AD4890" s="1"/>
      <c r="AE4890" s="1"/>
    </row>
    <row r="4891" spans="18:31" ht="75" customHeight="1">
      <c r="R4891" s="1"/>
      <c r="S4891" s="1"/>
      <c r="AD4891" s="1"/>
      <c r="AE4891" s="1"/>
    </row>
    <row r="4892" spans="18:31" ht="75" customHeight="1">
      <c r="R4892" s="1"/>
      <c r="S4892" s="1"/>
      <c r="AD4892" s="1"/>
      <c r="AE4892" s="1"/>
    </row>
    <row r="4893" spans="18:31" ht="75" customHeight="1">
      <c r="R4893" s="1"/>
      <c r="S4893" s="1"/>
      <c r="AD4893" s="1"/>
      <c r="AE4893" s="1"/>
    </row>
    <row r="4894" spans="18:31" ht="75" customHeight="1">
      <c r="R4894" s="1"/>
      <c r="S4894" s="1"/>
      <c r="AD4894" s="1"/>
      <c r="AE4894" s="1"/>
    </row>
    <row r="4895" spans="18:31" ht="75" customHeight="1">
      <c r="R4895" s="1"/>
      <c r="S4895" s="1"/>
      <c r="AD4895" s="1"/>
      <c r="AE4895" s="1"/>
    </row>
    <row r="4896" spans="18:31" ht="75" customHeight="1">
      <c r="R4896" s="1"/>
      <c r="S4896" s="1"/>
      <c r="AD4896" s="1"/>
      <c r="AE4896" s="1"/>
    </row>
    <row r="4897" spans="18:31" ht="75" customHeight="1">
      <c r="R4897" s="1"/>
      <c r="S4897" s="1"/>
      <c r="AD4897" s="1"/>
      <c r="AE4897" s="1"/>
    </row>
    <row r="4898" spans="18:31" ht="75" customHeight="1">
      <c r="R4898" s="1"/>
      <c r="S4898" s="1"/>
      <c r="AD4898" s="1"/>
      <c r="AE4898" s="1"/>
    </row>
    <row r="4899" spans="18:31" ht="75" customHeight="1">
      <c r="R4899" s="1"/>
      <c r="S4899" s="1"/>
      <c r="AD4899" s="1"/>
      <c r="AE4899" s="1"/>
    </row>
    <row r="4900" spans="18:31" ht="75" customHeight="1">
      <c r="R4900" s="1"/>
      <c r="S4900" s="1"/>
      <c r="AD4900" s="1"/>
      <c r="AE4900" s="1"/>
    </row>
    <row r="4901" spans="18:31" ht="75" customHeight="1">
      <c r="R4901" s="1"/>
      <c r="S4901" s="1"/>
      <c r="AD4901" s="1"/>
      <c r="AE4901" s="1"/>
    </row>
    <row r="4902" spans="18:31" ht="75" customHeight="1">
      <c r="R4902" s="1"/>
      <c r="S4902" s="1"/>
      <c r="AD4902" s="1"/>
      <c r="AE4902" s="1"/>
    </row>
    <row r="4903" spans="18:31" ht="75" customHeight="1">
      <c r="R4903" s="1"/>
      <c r="S4903" s="1"/>
      <c r="AD4903" s="1"/>
      <c r="AE4903" s="1"/>
    </row>
    <row r="4904" spans="18:31" ht="75" customHeight="1">
      <c r="R4904" s="1"/>
      <c r="S4904" s="1"/>
      <c r="AD4904" s="1"/>
      <c r="AE4904" s="1"/>
    </row>
    <row r="4905" spans="18:31" ht="75" customHeight="1">
      <c r="R4905" s="1"/>
      <c r="S4905" s="1"/>
      <c r="AD4905" s="1"/>
      <c r="AE4905" s="1"/>
    </row>
    <row r="4906" spans="18:31" ht="75" customHeight="1">
      <c r="R4906" s="1"/>
      <c r="S4906" s="1"/>
      <c r="AD4906" s="1"/>
      <c r="AE4906" s="1"/>
    </row>
    <row r="4907" spans="18:31" ht="75" customHeight="1">
      <c r="R4907" s="1"/>
      <c r="S4907" s="1"/>
      <c r="AD4907" s="1"/>
      <c r="AE4907" s="1"/>
    </row>
    <row r="4908" spans="18:31" ht="75" customHeight="1">
      <c r="R4908" s="1"/>
      <c r="S4908" s="1"/>
      <c r="AD4908" s="1"/>
      <c r="AE4908" s="1"/>
    </row>
    <row r="4909" spans="18:31" ht="75" customHeight="1">
      <c r="R4909" s="1"/>
      <c r="S4909" s="1"/>
      <c r="AD4909" s="1"/>
      <c r="AE4909" s="1"/>
    </row>
    <row r="4910" spans="18:31" ht="75" customHeight="1">
      <c r="R4910" s="1"/>
      <c r="S4910" s="1"/>
      <c r="AD4910" s="1"/>
      <c r="AE4910" s="1"/>
    </row>
    <row r="4911" spans="18:31" ht="75" customHeight="1">
      <c r="R4911" s="1"/>
      <c r="S4911" s="1"/>
      <c r="AD4911" s="1"/>
      <c r="AE4911" s="1"/>
    </row>
    <row r="4912" spans="18:31" ht="75" customHeight="1">
      <c r="R4912" s="1"/>
      <c r="S4912" s="1"/>
      <c r="AD4912" s="1"/>
      <c r="AE4912" s="1"/>
    </row>
    <row r="4913" spans="18:31" ht="75" customHeight="1">
      <c r="R4913" s="1"/>
      <c r="S4913" s="1"/>
      <c r="AD4913" s="1"/>
      <c r="AE4913" s="1"/>
    </row>
    <row r="4914" spans="18:31" ht="75" customHeight="1">
      <c r="R4914" s="1"/>
      <c r="S4914" s="1"/>
      <c r="AD4914" s="1"/>
      <c r="AE4914" s="1"/>
    </row>
    <row r="4915" spans="18:31" ht="75" customHeight="1">
      <c r="R4915" s="1"/>
      <c r="S4915" s="1"/>
      <c r="AD4915" s="1"/>
      <c r="AE4915" s="1"/>
    </row>
    <row r="4916" spans="18:31" ht="75" customHeight="1">
      <c r="R4916" s="1"/>
      <c r="S4916" s="1"/>
      <c r="AD4916" s="1"/>
      <c r="AE4916" s="1"/>
    </row>
    <row r="4917" spans="18:31" ht="75" customHeight="1">
      <c r="R4917" s="1"/>
      <c r="S4917" s="1"/>
      <c r="AD4917" s="1"/>
      <c r="AE4917" s="1"/>
    </row>
    <row r="4918" spans="18:31" ht="75" customHeight="1">
      <c r="R4918" s="1"/>
      <c r="S4918" s="1"/>
      <c r="AD4918" s="1"/>
      <c r="AE4918" s="1"/>
    </row>
    <row r="4919" spans="18:31" ht="75" customHeight="1">
      <c r="R4919" s="1"/>
      <c r="S4919" s="1"/>
      <c r="AD4919" s="1"/>
      <c r="AE4919" s="1"/>
    </row>
    <row r="4920" spans="18:31" ht="75" customHeight="1">
      <c r="R4920" s="1"/>
      <c r="S4920" s="1"/>
      <c r="AD4920" s="1"/>
      <c r="AE4920" s="1"/>
    </row>
    <row r="4921" spans="18:31" ht="75" customHeight="1">
      <c r="R4921" s="1"/>
      <c r="S4921" s="1"/>
      <c r="AD4921" s="1"/>
      <c r="AE4921" s="1"/>
    </row>
    <row r="4922" spans="18:31" ht="75" customHeight="1">
      <c r="R4922" s="1"/>
      <c r="S4922" s="1"/>
      <c r="AD4922" s="1"/>
      <c r="AE4922" s="1"/>
    </row>
    <row r="4923" spans="18:31" ht="75" customHeight="1">
      <c r="R4923" s="1"/>
      <c r="S4923" s="1"/>
      <c r="AD4923" s="1"/>
      <c r="AE4923" s="1"/>
    </row>
    <row r="4924" spans="18:31" ht="75" customHeight="1">
      <c r="R4924" s="1"/>
      <c r="S4924" s="1"/>
      <c r="AD4924" s="1"/>
      <c r="AE4924" s="1"/>
    </row>
    <row r="4925" spans="18:31" ht="75" customHeight="1">
      <c r="R4925" s="1"/>
      <c r="S4925" s="1"/>
      <c r="AD4925" s="1"/>
      <c r="AE4925" s="1"/>
    </row>
    <row r="4926" spans="18:31" ht="75" customHeight="1">
      <c r="R4926" s="1"/>
      <c r="S4926" s="1"/>
      <c r="AD4926" s="1"/>
      <c r="AE4926" s="1"/>
    </row>
    <row r="4927" spans="18:31" ht="75" customHeight="1">
      <c r="R4927" s="1"/>
      <c r="S4927" s="1"/>
      <c r="AD4927" s="1"/>
      <c r="AE4927" s="1"/>
    </row>
    <row r="4928" spans="18:31" ht="75" customHeight="1">
      <c r="R4928" s="1"/>
      <c r="S4928" s="1"/>
      <c r="AD4928" s="1"/>
      <c r="AE4928" s="1"/>
    </row>
    <row r="4929" spans="18:31" ht="75" customHeight="1">
      <c r="R4929" s="1"/>
      <c r="S4929" s="1"/>
      <c r="AD4929" s="1"/>
      <c r="AE4929" s="1"/>
    </row>
    <row r="4930" spans="18:31" ht="75" customHeight="1">
      <c r="R4930" s="1"/>
      <c r="S4930" s="1"/>
      <c r="AD4930" s="1"/>
      <c r="AE4930" s="1"/>
    </row>
    <row r="4931" spans="18:31" ht="75" customHeight="1">
      <c r="R4931" s="1"/>
      <c r="S4931" s="1"/>
      <c r="AD4931" s="1"/>
      <c r="AE4931" s="1"/>
    </row>
    <row r="4932" spans="18:31" ht="75" customHeight="1">
      <c r="R4932" s="1"/>
      <c r="S4932" s="1"/>
      <c r="AD4932" s="1"/>
      <c r="AE4932" s="1"/>
    </row>
    <row r="4933" spans="18:31" ht="75" customHeight="1">
      <c r="R4933" s="1"/>
      <c r="S4933" s="1"/>
      <c r="AD4933" s="1"/>
      <c r="AE4933" s="1"/>
    </row>
    <row r="4934" spans="18:31" ht="75" customHeight="1">
      <c r="R4934" s="1"/>
      <c r="S4934" s="1"/>
      <c r="AD4934" s="1"/>
      <c r="AE4934" s="1"/>
    </row>
    <row r="4935" spans="18:31" ht="75" customHeight="1">
      <c r="R4935" s="1"/>
      <c r="S4935" s="1"/>
      <c r="AD4935" s="1"/>
      <c r="AE4935" s="1"/>
    </row>
    <row r="4936" spans="18:31" ht="75" customHeight="1">
      <c r="R4936" s="1"/>
      <c r="S4936" s="1"/>
      <c r="AD4936" s="1"/>
      <c r="AE4936" s="1"/>
    </row>
    <row r="4937" spans="18:31" ht="75" customHeight="1">
      <c r="R4937" s="1"/>
      <c r="S4937" s="1"/>
      <c r="AD4937" s="1"/>
      <c r="AE4937" s="1"/>
    </row>
    <row r="4938" spans="18:31" ht="75" customHeight="1">
      <c r="R4938" s="1"/>
      <c r="S4938" s="1"/>
      <c r="AD4938" s="1"/>
      <c r="AE4938" s="1"/>
    </row>
    <row r="4939" spans="18:31" ht="75" customHeight="1">
      <c r="R4939" s="1"/>
      <c r="S4939" s="1"/>
      <c r="AD4939" s="1"/>
      <c r="AE4939" s="1"/>
    </row>
    <row r="4940" spans="18:31" ht="75" customHeight="1">
      <c r="R4940" s="1"/>
      <c r="S4940" s="1"/>
      <c r="AD4940" s="1"/>
      <c r="AE4940" s="1"/>
    </row>
    <row r="4941" spans="18:31" ht="75" customHeight="1">
      <c r="R4941" s="1"/>
      <c r="S4941" s="1"/>
      <c r="AD4941" s="1"/>
      <c r="AE4941" s="1"/>
    </row>
    <row r="4942" spans="18:31" ht="75" customHeight="1">
      <c r="R4942" s="1"/>
      <c r="S4942" s="1"/>
      <c r="AD4942" s="1"/>
      <c r="AE4942" s="1"/>
    </row>
    <row r="4943" spans="18:31" ht="75" customHeight="1">
      <c r="R4943" s="1"/>
      <c r="S4943" s="1"/>
      <c r="AD4943" s="1"/>
      <c r="AE4943" s="1"/>
    </row>
    <row r="4944" spans="18:31" ht="75" customHeight="1">
      <c r="R4944" s="1"/>
      <c r="S4944" s="1"/>
      <c r="AD4944" s="1"/>
      <c r="AE4944" s="1"/>
    </row>
    <row r="4945" spans="18:31" ht="75" customHeight="1">
      <c r="R4945" s="1"/>
      <c r="S4945" s="1"/>
      <c r="AD4945" s="1"/>
      <c r="AE4945" s="1"/>
    </row>
    <row r="4946" spans="18:31" ht="75" customHeight="1">
      <c r="R4946" s="1"/>
      <c r="S4946" s="1"/>
      <c r="AD4946" s="1"/>
      <c r="AE4946" s="1"/>
    </row>
    <row r="4947" spans="18:31" ht="75" customHeight="1">
      <c r="R4947" s="1"/>
      <c r="S4947" s="1"/>
      <c r="AD4947" s="1"/>
      <c r="AE4947" s="1"/>
    </row>
    <row r="4948" spans="18:31" ht="75" customHeight="1">
      <c r="R4948" s="1"/>
      <c r="S4948" s="1"/>
      <c r="AD4948" s="1"/>
      <c r="AE4948" s="1"/>
    </row>
    <row r="4949" spans="18:31" ht="75" customHeight="1">
      <c r="R4949" s="1"/>
      <c r="S4949" s="1"/>
      <c r="AD4949" s="1"/>
      <c r="AE4949" s="1"/>
    </row>
    <row r="4950" spans="18:31" ht="75" customHeight="1">
      <c r="R4950" s="1"/>
      <c r="S4950" s="1"/>
      <c r="AD4950" s="1"/>
      <c r="AE4950" s="1"/>
    </row>
    <row r="4951" spans="18:31" ht="75" customHeight="1">
      <c r="R4951" s="1"/>
      <c r="S4951" s="1"/>
      <c r="AD4951" s="1"/>
      <c r="AE4951" s="1"/>
    </row>
    <row r="4952" spans="18:31" ht="75" customHeight="1">
      <c r="R4952" s="1"/>
      <c r="S4952" s="1"/>
      <c r="AD4952" s="1"/>
      <c r="AE4952" s="1"/>
    </row>
    <row r="4953" spans="18:31" ht="75" customHeight="1">
      <c r="R4953" s="1"/>
      <c r="S4953" s="1"/>
      <c r="AD4953" s="1"/>
      <c r="AE4953" s="1"/>
    </row>
    <row r="4954" spans="18:31" ht="75" customHeight="1">
      <c r="R4954" s="1"/>
      <c r="S4954" s="1"/>
      <c r="AD4954" s="1"/>
      <c r="AE4954" s="1"/>
    </row>
    <row r="4955" spans="18:31" ht="75" customHeight="1">
      <c r="R4955" s="1"/>
      <c r="S4955" s="1"/>
      <c r="AD4955" s="1"/>
      <c r="AE4955" s="1"/>
    </row>
    <row r="4956" spans="18:31" ht="75" customHeight="1">
      <c r="R4956" s="1"/>
      <c r="S4956" s="1"/>
      <c r="AD4956" s="1"/>
      <c r="AE4956" s="1"/>
    </row>
    <row r="4957" spans="18:31" ht="75" customHeight="1">
      <c r="R4957" s="1"/>
      <c r="S4957" s="1"/>
      <c r="AD4957" s="1"/>
      <c r="AE4957" s="1"/>
    </row>
    <row r="4958" spans="18:31" ht="75" customHeight="1">
      <c r="R4958" s="1"/>
      <c r="S4958" s="1"/>
      <c r="AD4958" s="1"/>
      <c r="AE4958" s="1"/>
    </row>
    <row r="4959" spans="18:31" ht="75" customHeight="1">
      <c r="R4959" s="1"/>
      <c r="S4959" s="1"/>
      <c r="AD4959" s="1"/>
      <c r="AE4959" s="1"/>
    </row>
    <row r="4960" spans="18:31" ht="75" customHeight="1">
      <c r="R4960" s="1"/>
      <c r="S4960" s="1"/>
      <c r="AD4960" s="1"/>
      <c r="AE4960" s="1"/>
    </row>
    <row r="4961" spans="18:31" ht="75" customHeight="1">
      <c r="R4961" s="1"/>
      <c r="S4961" s="1"/>
      <c r="AD4961" s="1"/>
      <c r="AE4961" s="1"/>
    </row>
    <row r="4962" spans="18:31" ht="75" customHeight="1">
      <c r="R4962" s="1"/>
      <c r="S4962" s="1"/>
      <c r="AD4962" s="1"/>
      <c r="AE4962" s="1"/>
    </row>
    <row r="4963" spans="18:31" ht="75" customHeight="1">
      <c r="R4963" s="1"/>
      <c r="S4963" s="1"/>
      <c r="AD4963" s="1"/>
      <c r="AE4963" s="1"/>
    </row>
    <row r="4964" spans="18:31" ht="75" customHeight="1">
      <c r="R4964" s="1"/>
      <c r="S4964" s="1"/>
      <c r="AD4964" s="1"/>
      <c r="AE4964" s="1"/>
    </row>
    <row r="4965" spans="18:31" ht="75" customHeight="1">
      <c r="R4965" s="1"/>
      <c r="S4965" s="1"/>
      <c r="AD4965" s="1"/>
      <c r="AE4965" s="1"/>
    </row>
    <row r="4966" spans="18:31" ht="75" customHeight="1">
      <c r="R4966" s="1"/>
      <c r="S4966" s="1"/>
      <c r="AD4966" s="1"/>
      <c r="AE4966" s="1"/>
    </row>
    <row r="4967" spans="18:31" ht="75" customHeight="1">
      <c r="R4967" s="1"/>
      <c r="S4967" s="1"/>
      <c r="AD4967" s="1"/>
      <c r="AE4967" s="1"/>
    </row>
    <row r="4968" spans="18:31" ht="75" customHeight="1">
      <c r="R4968" s="1"/>
      <c r="S4968" s="1"/>
      <c r="AD4968" s="1"/>
      <c r="AE4968" s="1"/>
    </row>
    <row r="4969" spans="18:31" ht="75" customHeight="1">
      <c r="R4969" s="1"/>
      <c r="S4969" s="1"/>
      <c r="AD4969" s="1"/>
      <c r="AE4969" s="1"/>
    </row>
    <row r="4970" spans="18:31" ht="75" customHeight="1">
      <c r="R4970" s="1"/>
      <c r="S4970" s="1"/>
      <c r="AD4970" s="1"/>
      <c r="AE4970" s="1"/>
    </row>
    <row r="4971" spans="18:31" ht="75" customHeight="1">
      <c r="R4971" s="1"/>
      <c r="S4971" s="1"/>
      <c r="AD4971" s="1"/>
      <c r="AE4971" s="1"/>
    </row>
    <row r="4972" spans="18:31" ht="75" customHeight="1">
      <c r="R4972" s="1"/>
      <c r="S4972" s="1"/>
      <c r="AD4972" s="1"/>
      <c r="AE4972" s="1"/>
    </row>
    <row r="4973" spans="18:31" ht="75" customHeight="1">
      <c r="R4973" s="1"/>
      <c r="S4973" s="1"/>
      <c r="AD4973" s="1"/>
      <c r="AE4973" s="1"/>
    </row>
    <row r="4974" spans="18:31" ht="75" customHeight="1">
      <c r="R4974" s="1"/>
      <c r="S4974" s="1"/>
      <c r="AD4974" s="1"/>
      <c r="AE4974" s="1"/>
    </row>
    <row r="4975" spans="18:31" ht="75" customHeight="1">
      <c r="R4975" s="1"/>
      <c r="S4975" s="1"/>
      <c r="AD4975" s="1"/>
      <c r="AE4975" s="1"/>
    </row>
    <row r="4976" spans="18:31" ht="75" customHeight="1">
      <c r="R4976" s="1"/>
      <c r="S4976" s="1"/>
      <c r="AD4976" s="1"/>
      <c r="AE4976" s="1"/>
    </row>
    <row r="4977" spans="18:31" ht="75" customHeight="1">
      <c r="R4977" s="1"/>
      <c r="S4977" s="1"/>
      <c r="AD4977" s="1"/>
      <c r="AE4977" s="1"/>
    </row>
    <row r="4978" spans="18:31" ht="75" customHeight="1">
      <c r="R4978" s="1"/>
      <c r="S4978" s="1"/>
      <c r="AD4978" s="1"/>
      <c r="AE4978" s="1"/>
    </row>
    <row r="4979" spans="18:31" ht="75" customHeight="1">
      <c r="R4979" s="1"/>
      <c r="S4979" s="1"/>
      <c r="AD4979" s="1"/>
      <c r="AE4979" s="1"/>
    </row>
    <row r="4980" spans="18:31" ht="75" customHeight="1">
      <c r="R4980" s="1"/>
      <c r="S4980" s="1"/>
      <c r="AD4980" s="1"/>
      <c r="AE4980" s="1"/>
    </row>
    <row r="4981" spans="18:31" ht="75" customHeight="1">
      <c r="R4981" s="1"/>
      <c r="S4981" s="1"/>
      <c r="AD4981" s="1"/>
      <c r="AE4981" s="1"/>
    </row>
    <row r="4982" spans="18:31" ht="75" customHeight="1">
      <c r="R4982" s="1"/>
      <c r="S4982" s="1"/>
      <c r="AD4982" s="1"/>
      <c r="AE4982" s="1"/>
    </row>
    <row r="4983" spans="18:31" ht="75" customHeight="1">
      <c r="R4983" s="1"/>
      <c r="S4983" s="1"/>
      <c r="AD4983" s="1"/>
      <c r="AE4983" s="1"/>
    </row>
    <row r="4984" spans="18:31" ht="75" customHeight="1">
      <c r="R4984" s="1"/>
      <c r="S4984" s="1"/>
      <c r="AD4984" s="1"/>
      <c r="AE4984" s="1"/>
    </row>
    <row r="4985" spans="18:31" ht="75" customHeight="1">
      <c r="R4985" s="1"/>
      <c r="S4985" s="1"/>
      <c r="AD4985" s="1"/>
      <c r="AE4985" s="1"/>
    </row>
    <row r="4986" spans="18:31" ht="75" customHeight="1">
      <c r="R4986" s="1"/>
      <c r="S4986" s="1"/>
      <c r="AD4986" s="1"/>
      <c r="AE4986" s="1"/>
    </row>
    <row r="4987" spans="18:31" ht="75" customHeight="1">
      <c r="R4987" s="1"/>
      <c r="S4987" s="1"/>
      <c r="AD4987" s="1"/>
      <c r="AE4987" s="1"/>
    </row>
    <row r="4988" spans="18:31" ht="75" customHeight="1">
      <c r="R4988" s="1"/>
      <c r="S4988" s="1"/>
      <c r="AD4988" s="1"/>
      <c r="AE4988" s="1"/>
    </row>
    <row r="4989" spans="18:31" ht="75" customHeight="1">
      <c r="R4989" s="1"/>
      <c r="S4989" s="1"/>
      <c r="AD4989" s="1"/>
      <c r="AE4989" s="1"/>
    </row>
    <row r="4990" spans="18:31" ht="75" customHeight="1">
      <c r="R4990" s="1"/>
      <c r="S4990" s="1"/>
      <c r="AD4990" s="1"/>
      <c r="AE4990" s="1"/>
    </row>
    <row r="4991" spans="18:31" ht="75" customHeight="1">
      <c r="R4991" s="1"/>
      <c r="S4991" s="1"/>
      <c r="AD4991" s="1"/>
      <c r="AE4991" s="1"/>
    </row>
    <row r="4992" spans="18:31" ht="75" customHeight="1">
      <c r="R4992" s="1"/>
      <c r="S4992" s="1"/>
      <c r="AD4992" s="1"/>
      <c r="AE4992" s="1"/>
    </row>
    <row r="4993" spans="18:31" ht="75" customHeight="1">
      <c r="R4993" s="1"/>
      <c r="S4993" s="1"/>
      <c r="AD4993" s="1"/>
      <c r="AE4993" s="1"/>
    </row>
    <row r="4994" spans="18:31" ht="75" customHeight="1">
      <c r="R4994" s="1"/>
      <c r="S4994" s="1"/>
      <c r="AD4994" s="1"/>
      <c r="AE4994" s="1"/>
    </row>
    <row r="4995" spans="18:31" ht="75" customHeight="1">
      <c r="R4995" s="1"/>
      <c r="S4995" s="1"/>
      <c r="AD4995" s="1"/>
      <c r="AE4995" s="1"/>
    </row>
    <row r="4996" spans="18:31" ht="75" customHeight="1">
      <c r="R4996" s="1"/>
      <c r="S4996" s="1"/>
      <c r="AD4996" s="1"/>
      <c r="AE4996" s="1"/>
    </row>
    <row r="4997" spans="18:31" ht="75" customHeight="1">
      <c r="R4997" s="1"/>
      <c r="S4997" s="1"/>
      <c r="AD4997" s="1"/>
      <c r="AE4997" s="1"/>
    </row>
    <row r="4998" spans="18:31" ht="75" customHeight="1">
      <c r="R4998" s="1"/>
      <c r="S4998" s="1"/>
      <c r="AD4998" s="1"/>
      <c r="AE4998" s="1"/>
    </row>
    <row r="4999" spans="18:31" ht="75" customHeight="1">
      <c r="R4999" s="1"/>
      <c r="S4999" s="1"/>
      <c r="AD4999" s="1"/>
      <c r="AE4999" s="1"/>
    </row>
    <row r="5000" spans="18:31" ht="75" customHeight="1">
      <c r="R5000" s="1"/>
      <c r="S5000" s="1"/>
      <c r="AD5000" s="1"/>
      <c r="AE5000" s="1"/>
    </row>
    <row r="5001" spans="18:31" ht="75" customHeight="1">
      <c r="R5001" s="1"/>
      <c r="S5001" s="1"/>
      <c r="AD5001" s="1"/>
      <c r="AE5001" s="1"/>
    </row>
    <row r="5002" spans="18:31" ht="75" customHeight="1">
      <c r="R5002" s="1"/>
      <c r="S5002" s="1"/>
      <c r="AD5002" s="1"/>
      <c r="AE5002" s="1"/>
    </row>
    <row r="5003" spans="18:31" ht="75" customHeight="1">
      <c r="R5003" s="1"/>
      <c r="S5003" s="1"/>
      <c r="AD5003" s="1"/>
      <c r="AE5003" s="1"/>
    </row>
    <row r="5004" spans="18:31" ht="75" customHeight="1">
      <c r="R5004" s="1"/>
      <c r="S5004" s="1"/>
      <c r="AD5004" s="1"/>
      <c r="AE5004" s="1"/>
    </row>
    <row r="5005" spans="18:31" ht="75" customHeight="1">
      <c r="R5005" s="1"/>
      <c r="S5005" s="1"/>
      <c r="AD5005" s="1"/>
      <c r="AE5005" s="1"/>
    </row>
    <row r="5006" spans="18:31" ht="75" customHeight="1">
      <c r="R5006" s="1"/>
      <c r="S5006" s="1"/>
      <c r="AD5006" s="1"/>
      <c r="AE5006" s="1"/>
    </row>
    <row r="5007" spans="18:31" ht="75" customHeight="1">
      <c r="R5007" s="1"/>
      <c r="S5007" s="1"/>
      <c r="AD5007" s="1"/>
      <c r="AE5007" s="1"/>
    </row>
    <row r="5008" spans="18:31" ht="75" customHeight="1">
      <c r="R5008" s="1"/>
      <c r="S5008" s="1"/>
      <c r="AD5008" s="1"/>
      <c r="AE5008" s="1"/>
    </row>
    <row r="5009" spans="18:31" ht="75" customHeight="1">
      <c r="R5009" s="1"/>
      <c r="S5009" s="1"/>
      <c r="AD5009" s="1"/>
      <c r="AE5009" s="1"/>
    </row>
    <row r="5010" spans="18:31" ht="75" customHeight="1">
      <c r="R5010" s="1"/>
      <c r="S5010" s="1"/>
      <c r="AD5010" s="1"/>
      <c r="AE5010" s="1"/>
    </row>
    <row r="5011" spans="18:31" ht="75" customHeight="1">
      <c r="R5011" s="1"/>
      <c r="S5011" s="1"/>
      <c r="AD5011" s="1"/>
      <c r="AE5011" s="1"/>
    </row>
    <row r="5012" spans="18:31" ht="75" customHeight="1">
      <c r="R5012" s="1"/>
      <c r="S5012" s="1"/>
      <c r="AD5012" s="1"/>
      <c r="AE5012" s="1"/>
    </row>
    <row r="5013" spans="18:31" ht="75" customHeight="1">
      <c r="R5013" s="1"/>
      <c r="S5013" s="1"/>
      <c r="AD5013" s="1"/>
      <c r="AE5013" s="1"/>
    </row>
    <row r="5014" spans="18:31" ht="75" customHeight="1">
      <c r="R5014" s="1"/>
      <c r="S5014" s="1"/>
      <c r="AD5014" s="1"/>
      <c r="AE5014" s="1"/>
    </row>
    <row r="5015" spans="18:31" ht="75" customHeight="1">
      <c r="R5015" s="1"/>
      <c r="S5015" s="1"/>
      <c r="AD5015" s="1"/>
      <c r="AE5015" s="1"/>
    </row>
    <row r="5016" spans="18:31" ht="75" customHeight="1">
      <c r="R5016" s="1"/>
      <c r="S5016" s="1"/>
      <c r="AD5016" s="1"/>
      <c r="AE5016" s="1"/>
    </row>
    <row r="5017" spans="18:31" ht="75" customHeight="1">
      <c r="R5017" s="1"/>
      <c r="S5017" s="1"/>
      <c r="AD5017" s="1"/>
      <c r="AE5017" s="1"/>
    </row>
    <row r="5018" spans="18:31" ht="75" customHeight="1">
      <c r="R5018" s="1"/>
      <c r="S5018" s="1"/>
      <c r="AD5018" s="1"/>
      <c r="AE5018" s="1"/>
    </row>
    <row r="5019" spans="18:31" ht="75" customHeight="1">
      <c r="R5019" s="1"/>
      <c r="S5019" s="1"/>
      <c r="AD5019" s="1"/>
      <c r="AE5019" s="1"/>
    </row>
    <row r="5020" spans="18:31" ht="75" customHeight="1">
      <c r="R5020" s="1"/>
      <c r="S5020" s="1"/>
      <c r="AD5020" s="1"/>
      <c r="AE5020" s="1"/>
    </row>
    <row r="5021" spans="18:31" ht="75" customHeight="1">
      <c r="R5021" s="1"/>
      <c r="S5021" s="1"/>
      <c r="AD5021" s="1"/>
      <c r="AE5021" s="1"/>
    </row>
    <row r="5022" spans="18:31" ht="75" customHeight="1">
      <c r="R5022" s="1"/>
      <c r="S5022" s="1"/>
      <c r="AD5022" s="1"/>
      <c r="AE5022" s="1"/>
    </row>
    <row r="5023" spans="18:31" ht="75" customHeight="1">
      <c r="R5023" s="1"/>
      <c r="S5023" s="1"/>
      <c r="AD5023" s="1"/>
      <c r="AE5023" s="1"/>
    </row>
    <row r="5024" spans="18:31" ht="75" customHeight="1">
      <c r="R5024" s="1"/>
      <c r="S5024" s="1"/>
      <c r="AD5024" s="1"/>
      <c r="AE5024" s="1"/>
    </row>
    <row r="5025" spans="18:31" ht="75" customHeight="1">
      <c r="R5025" s="1"/>
      <c r="S5025" s="1"/>
      <c r="AD5025" s="1"/>
      <c r="AE5025" s="1"/>
    </row>
    <row r="5026" spans="18:31" ht="75" customHeight="1">
      <c r="R5026" s="1"/>
      <c r="S5026" s="1"/>
      <c r="AD5026" s="1"/>
      <c r="AE5026" s="1"/>
    </row>
    <row r="5027" spans="18:31" ht="75" customHeight="1">
      <c r="R5027" s="1"/>
      <c r="S5027" s="1"/>
      <c r="AD5027" s="1"/>
      <c r="AE5027" s="1"/>
    </row>
    <row r="5028" spans="18:31" ht="75" customHeight="1">
      <c r="R5028" s="1"/>
      <c r="S5028" s="1"/>
      <c r="AD5028" s="1"/>
      <c r="AE5028" s="1"/>
    </row>
    <row r="5029" spans="18:31" ht="75" customHeight="1">
      <c r="R5029" s="1"/>
      <c r="S5029" s="1"/>
      <c r="AD5029" s="1"/>
      <c r="AE5029" s="1"/>
    </row>
    <row r="5030" spans="18:31" ht="75" customHeight="1">
      <c r="R5030" s="1"/>
      <c r="S5030" s="1"/>
      <c r="AD5030" s="1"/>
      <c r="AE5030" s="1"/>
    </row>
    <row r="5031" spans="18:31" ht="75" customHeight="1">
      <c r="R5031" s="1"/>
      <c r="S5031" s="1"/>
      <c r="AD5031" s="1"/>
      <c r="AE5031" s="1"/>
    </row>
    <row r="5032" spans="18:31" ht="75" customHeight="1">
      <c r="R5032" s="1"/>
      <c r="S5032" s="1"/>
      <c r="AD5032" s="1"/>
      <c r="AE5032" s="1"/>
    </row>
    <row r="5033" spans="18:31" ht="75" customHeight="1">
      <c r="R5033" s="1"/>
      <c r="S5033" s="1"/>
      <c r="AD5033" s="1"/>
      <c r="AE5033" s="1"/>
    </row>
    <row r="5034" spans="18:31" ht="75" customHeight="1">
      <c r="R5034" s="1"/>
      <c r="S5034" s="1"/>
      <c r="AD5034" s="1"/>
      <c r="AE5034" s="1"/>
    </row>
    <row r="5035" spans="18:31" ht="75" customHeight="1">
      <c r="R5035" s="1"/>
      <c r="S5035" s="1"/>
      <c r="AD5035" s="1"/>
      <c r="AE5035" s="1"/>
    </row>
    <row r="5036" spans="18:31" ht="75" customHeight="1">
      <c r="R5036" s="1"/>
      <c r="S5036" s="1"/>
      <c r="AD5036" s="1"/>
      <c r="AE5036" s="1"/>
    </row>
    <row r="5037" spans="18:31" ht="75" customHeight="1">
      <c r="R5037" s="1"/>
      <c r="S5037" s="1"/>
      <c r="AD5037" s="1"/>
      <c r="AE5037" s="1"/>
    </row>
    <row r="5038" spans="18:31" ht="75" customHeight="1">
      <c r="R5038" s="1"/>
      <c r="S5038" s="1"/>
      <c r="AD5038" s="1"/>
      <c r="AE5038" s="1"/>
    </row>
    <row r="5039" spans="18:31" ht="75" customHeight="1">
      <c r="R5039" s="1"/>
      <c r="S5039" s="1"/>
      <c r="AD5039" s="1"/>
      <c r="AE5039" s="1"/>
    </row>
    <row r="5040" spans="18:31" ht="75" customHeight="1">
      <c r="R5040" s="1"/>
      <c r="S5040" s="1"/>
      <c r="AD5040" s="1"/>
      <c r="AE5040" s="1"/>
    </row>
    <row r="5041" spans="18:31" ht="75" customHeight="1">
      <c r="R5041" s="1"/>
      <c r="S5041" s="1"/>
      <c r="AD5041" s="1"/>
      <c r="AE5041" s="1"/>
    </row>
    <row r="5042" spans="18:31" ht="75" customHeight="1">
      <c r="R5042" s="1"/>
      <c r="S5042" s="1"/>
      <c r="AD5042" s="1"/>
      <c r="AE5042" s="1"/>
    </row>
    <row r="5043" spans="18:31" ht="75" customHeight="1">
      <c r="R5043" s="1"/>
      <c r="S5043" s="1"/>
      <c r="AD5043" s="1"/>
      <c r="AE5043" s="1"/>
    </row>
    <row r="5044" spans="18:31" ht="75" customHeight="1">
      <c r="R5044" s="1"/>
      <c r="S5044" s="1"/>
      <c r="AD5044" s="1"/>
      <c r="AE5044" s="1"/>
    </row>
    <row r="5045" spans="18:31" ht="75" customHeight="1">
      <c r="R5045" s="1"/>
      <c r="S5045" s="1"/>
      <c r="AD5045" s="1"/>
      <c r="AE5045" s="1"/>
    </row>
    <row r="5046" spans="18:31" ht="75" customHeight="1">
      <c r="R5046" s="1"/>
      <c r="S5046" s="1"/>
      <c r="AD5046" s="1"/>
      <c r="AE5046" s="1"/>
    </row>
    <row r="5047" spans="18:31" ht="75" customHeight="1">
      <c r="R5047" s="1"/>
      <c r="S5047" s="1"/>
      <c r="AD5047" s="1"/>
      <c r="AE5047" s="1"/>
    </row>
    <row r="5048" spans="18:31" ht="75" customHeight="1">
      <c r="R5048" s="1"/>
      <c r="S5048" s="1"/>
      <c r="AD5048" s="1"/>
      <c r="AE5048" s="1"/>
    </row>
    <row r="5049" spans="18:31" ht="75" customHeight="1">
      <c r="R5049" s="1"/>
      <c r="S5049" s="1"/>
      <c r="AD5049" s="1"/>
      <c r="AE5049" s="1"/>
    </row>
    <row r="5050" spans="18:31" ht="75" customHeight="1">
      <c r="R5050" s="1"/>
      <c r="S5050" s="1"/>
      <c r="AD5050" s="1"/>
      <c r="AE5050" s="1"/>
    </row>
    <row r="5051" spans="18:31" ht="75" customHeight="1">
      <c r="R5051" s="1"/>
      <c r="S5051" s="1"/>
      <c r="AD5051" s="1"/>
      <c r="AE5051" s="1"/>
    </row>
    <row r="5052" spans="18:31" ht="75" customHeight="1">
      <c r="R5052" s="1"/>
      <c r="S5052" s="1"/>
      <c r="AD5052" s="1"/>
      <c r="AE5052" s="1"/>
    </row>
    <row r="5053" spans="18:31" ht="75" customHeight="1">
      <c r="R5053" s="1"/>
      <c r="S5053" s="1"/>
      <c r="AD5053" s="1"/>
      <c r="AE5053" s="1"/>
    </row>
    <row r="5054" spans="18:31" ht="75" customHeight="1">
      <c r="R5054" s="1"/>
      <c r="S5054" s="1"/>
      <c r="AD5054" s="1"/>
      <c r="AE5054" s="1"/>
    </row>
    <row r="5055" spans="18:31" ht="75" customHeight="1">
      <c r="R5055" s="1"/>
      <c r="S5055" s="1"/>
      <c r="AD5055" s="1"/>
      <c r="AE5055" s="1"/>
    </row>
    <row r="5056" spans="18:31" ht="75" customHeight="1">
      <c r="R5056" s="1"/>
      <c r="S5056" s="1"/>
      <c r="AD5056" s="1"/>
      <c r="AE5056" s="1"/>
    </row>
    <row r="5057" spans="18:31" ht="75" customHeight="1">
      <c r="R5057" s="1"/>
      <c r="S5057" s="1"/>
      <c r="AD5057" s="1"/>
      <c r="AE5057" s="1"/>
    </row>
    <row r="5058" spans="18:31" ht="75" customHeight="1">
      <c r="R5058" s="1"/>
      <c r="S5058" s="1"/>
      <c r="AD5058" s="1"/>
      <c r="AE5058" s="1"/>
    </row>
    <row r="5059" spans="18:31" ht="75" customHeight="1">
      <c r="R5059" s="1"/>
      <c r="S5059" s="1"/>
      <c r="AD5059" s="1"/>
      <c r="AE5059" s="1"/>
    </row>
    <row r="5060" spans="18:31" ht="75" customHeight="1">
      <c r="R5060" s="1"/>
      <c r="S5060" s="1"/>
      <c r="AD5060" s="1"/>
      <c r="AE5060" s="1"/>
    </row>
    <row r="5061" spans="18:31" ht="75" customHeight="1">
      <c r="R5061" s="1"/>
      <c r="S5061" s="1"/>
      <c r="AD5061" s="1"/>
      <c r="AE5061" s="1"/>
    </row>
    <row r="5062" spans="18:31" ht="75" customHeight="1">
      <c r="R5062" s="1"/>
      <c r="S5062" s="1"/>
      <c r="AD5062" s="1"/>
      <c r="AE5062" s="1"/>
    </row>
    <row r="5063" spans="18:31" ht="75" customHeight="1">
      <c r="R5063" s="1"/>
      <c r="S5063" s="1"/>
      <c r="AD5063" s="1"/>
      <c r="AE5063" s="1"/>
    </row>
    <row r="5064" spans="18:31" ht="75" customHeight="1">
      <c r="R5064" s="1"/>
      <c r="S5064" s="1"/>
      <c r="AD5064" s="1"/>
      <c r="AE5064" s="1"/>
    </row>
    <row r="5065" spans="18:31" ht="75" customHeight="1">
      <c r="R5065" s="1"/>
      <c r="S5065" s="1"/>
      <c r="AD5065" s="1"/>
      <c r="AE5065" s="1"/>
    </row>
    <row r="5066" spans="18:31" ht="75" customHeight="1">
      <c r="R5066" s="1"/>
      <c r="S5066" s="1"/>
      <c r="AD5066" s="1"/>
      <c r="AE5066" s="1"/>
    </row>
    <row r="5067" spans="18:31" ht="75" customHeight="1">
      <c r="R5067" s="1"/>
      <c r="S5067" s="1"/>
      <c r="AD5067" s="1"/>
      <c r="AE5067" s="1"/>
    </row>
    <row r="5068" spans="18:31" ht="75" customHeight="1">
      <c r="R5068" s="1"/>
      <c r="S5068" s="1"/>
      <c r="AD5068" s="1"/>
      <c r="AE5068" s="1"/>
    </row>
    <row r="5069" spans="18:31" ht="75" customHeight="1">
      <c r="R5069" s="1"/>
      <c r="S5069" s="1"/>
      <c r="AD5069" s="1"/>
      <c r="AE5069" s="1"/>
    </row>
    <row r="5070" spans="18:31" ht="75" customHeight="1">
      <c r="R5070" s="1"/>
      <c r="S5070" s="1"/>
      <c r="AD5070" s="1"/>
      <c r="AE5070" s="1"/>
    </row>
    <row r="5071" spans="18:31" ht="75" customHeight="1">
      <c r="R5071" s="1"/>
      <c r="S5071" s="1"/>
      <c r="AD5071" s="1"/>
      <c r="AE5071" s="1"/>
    </row>
    <row r="5072" spans="18:31" ht="75" customHeight="1">
      <c r="R5072" s="1"/>
      <c r="S5072" s="1"/>
      <c r="AD5072" s="1"/>
      <c r="AE5072" s="1"/>
    </row>
    <row r="5073" spans="18:31" ht="75" customHeight="1">
      <c r="R5073" s="1"/>
      <c r="S5073" s="1"/>
      <c r="AD5073" s="1"/>
      <c r="AE5073" s="1"/>
    </row>
    <row r="5074" spans="18:31" ht="75" customHeight="1">
      <c r="R5074" s="1"/>
      <c r="S5074" s="1"/>
      <c r="AD5074" s="1"/>
      <c r="AE5074" s="1"/>
    </row>
    <row r="5075" spans="18:31" ht="75" customHeight="1">
      <c r="R5075" s="1"/>
      <c r="S5075" s="1"/>
      <c r="AD5075" s="1"/>
      <c r="AE5075" s="1"/>
    </row>
    <row r="5076" spans="18:31" ht="75" customHeight="1">
      <c r="R5076" s="1"/>
      <c r="S5076" s="1"/>
      <c r="AD5076" s="1"/>
      <c r="AE5076" s="1"/>
    </row>
    <row r="5077" spans="18:31" ht="75" customHeight="1">
      <c r="R5077" s="1"/>
      <c r="S5077" s="1"/>
      <c r="AD5077" s="1"/>
      <c r="AE5077" s="1"/>
    </row>
    <row r="5078" spans="18:31" ht="75" customHeight="1">
      <c r="R5078" s="1"/>
      <c r="S5078" s="1"/>
      <c r="AD5078" s="1"/>
      <c r="AE5078" s="1"/>
    </row>
    <row r="5079" spans="18:31" ht="75" customHeight="1">
      <c r="R5079" s="1"/>
      <c r="S5079" s="1"/>
      <c r="AD5079" s="1"/>
      <c r="AE5079" s="1"/>
    </row>
    <row r="5080" spans="18:31" ht="75" customHeight="1">
      <c r="R5080" s="1"/>
      <c r="S5080" s="1"/>
      <c r="AD5080" s="1"/>
      <c r="AE5080" s="1"/>
    </row>
    <row r="5081" spans="18:31" ht="75" customHeight="1">
      <c r="R5081" s="1"/>
      <c r="S5081" s="1"/>
      <c r="AD5081" s="1"/>
      <c r="AE5081" s="1"/>
    </row>
    <row r="5082" spans="18:31" ht="75" customHeight="1">
      <c r="R5082" s="1"/>
      <c r="S5082" s="1"/>
      <c r="AD5082" s="1"/>
      <c r="AE5082" s="1"/>
    </row>
    <row r="5083" spans="18:31" ht="75" customHeight="1">
      <c r="R5083" s="1"/>
      <c r="S5083" s="1"/>
      <c r="AD5083" s="1"/>
      <c r="AE5083" s="1"/>
    </row>
    <row r="5084" spans="18:31" ht="75" customHeight="1">
      <c r="R5084" s="1"/>
      <c r="S5084" s="1"/>
      <c r="AD5084" s="1"/>
      <c r="AE5084" s="1"/>
    </row>
    <row r="5085" spans="18:31" ht="75" customHeight="1">
      <c r="R5085" s="1"/>
      <c r="S5085" s="1"/>
      <c r="AD5085" s="1"/>
      <c r="AE5085" s="1"/>
    </row>
    <row r="5086" spans="18:31" ht="75" customHeight="1">
      <c r="R5086" s="1"/>
      <c r="S5086" s="1"/>
      <c r="AD5086" s="1"/>
      <c r="AE5086" s="1"/>
    </row>
    <row r="5087" spans="18:31" ht="75" customHeight="1">
      <c r="R5087" s="1"/>
      <c r="S5087" s="1"/>
      <c r="AD5087" s="1"/>
      <c r="AE5087" s="1"/>
    </row>
    <row r="5088" spans="18:31" ht="75" customHeight="1">
      <c r="R5088" s="1"/>
      <c r="S5088" s="1"/>
      <c r="AD5088" s="1"/>
      <c r="AE5088" s="1"/>
    </row>
    <row r="5089" spans="18:31" ht="75" customHeight="1">
      <c r="R5089" s="1"/>
      <c r="S5089" s="1"/>
      <c r="AD5089" s="1"/>
      <c r="AE5089" s="1"/>
    </row>
    <row r="5090" spans="18:31" ht="75" customHeight="1">
      <c r="R5090" s="1"/>
      <c r="S5090" s="1"/>
      <c r="AD5090" s="1"/>
      <c r="AE5090" s="1"/>
    </row>
    <row r="5091" spans="18:31" ht="75" customHeight="1">
      <c r="R5091" s="1"/>
      <c r="S5091" s="1"/>
      <c r="AD5091" s="1"/>
      <c r="AE5091" s="1"/>
    </row>
    <row r="5092" spans="18:31" ht="75" customHeight="1">
      <c r="R5092" s="1"/>
      <c r="S5092" s="1"/>
      <c r="AD5092" s="1"/>
      <c r="AE5092" s="1"/>
    </row>
    <row r="5093" spans="18:31" ht="75" customHeight="1">
      <c r="R5093" s="1"/>
      <c r="S5093" s="1"/>
      <c r="AD5093" s="1"/>
      <c r="AE5093" s="1"/>
    </row>
    <row r="5094" spans="18:31" ht="75" customHeight="1">
      <c r="R5094" s="1"/>
      <c r="S5094" s="1"/>
      <c r="AD5094" s="1"/>
      <c r="AE5094" s="1"/>
    </row>
    <row r="5095" spans="18:31" ht="75" customHeight="1">
      <c r="R5095" s="1"/>
      <c r="S5095" s="1"/>
      <c r="AD5095" s="1"/>
      <c r="AE5095" s="1"/>
    </row>
    <row r="5096" spans="18:31" ht="75" customHeight="1">
      <c r="R5096" s="1"/>
      <c r="S5096" s="1"/>
      <c r="AD5096" s="1"/>
      <c r="AE5096" s="1"/>
    </row>
    <row r="5097" spans="18:31" ht="75" customHeight="1">
      <c r="R5097" s="1"/>
      <c r="S5097" s="1"/>
      <c r="AD5097" s="1"/>
      <c r="AE5097" s="1"/>
    </row>
    <row r="5098" spans="18:31" ht="75" customHeight="1">
      <c r="R5098" s="1"/>
      <c r="S5098" s="1"/>
      <c r="AD5098" s="1"/>
      <c r="AE5098" s="1"/>
    </row>
    <row r="5099" spans="18:31" ht="75" customHeight="1">
      <c r="R5099" s="1"/>
      <c r="S5099" s="1"/>
      <c r="AD5099" s="1"/>
      <c r="AE5099" s="1"/>
    </row>
    <row r="5100" spans="18:31" ht="75" customHeight="1">
      <c r="R5100" s="1"/>
      <c r="S5100" s="1"/>
      <c r="AD5100" s="1"/>
      <c r="AE5100" s="1"/>
    </row>
    <row r="5101" spans="18:31" ht="75" customHeight="1">
      <c r="R5101" s="1"/>
      <c r="S5101" s="1"/>
      <c r="AD5101" s="1"/>
      <c r="AE5101" s="1"/>
    </row>
    <row r="5102" spans="18:31" ht="75" customHeight="1">
      <c r="R5102" s="1"/>
      <c r="S5102" s="1"/>
      <c r="AD5102" s="1"/>
      <c r="AE5102" s="1"/>
    </row>
    <row r="5103" spans="18:31" ht="75" customHeight="1">
      <c r="R5103" s="1"/>
      <c r="S5103" s="1"/>
      <c r="AD5103" s="1"/>
      <c r="AE5103" s="1"/>
    </row>
    <row r="5104" spans="18:31" ht="75" customHeight="1">
      <c r="R5104" s="1"/>
      <c r="S5104" s="1"/>
      <c r="AD5104" s="1"/>
      <c r="AE5104" s="1"/>
    </row>
    <row r="5105" spans="18:31" ht="75" customHeight="1">
      <c r="R5105" s="1"/>
      <c r="S5105" s="1"/>
      <c r="AD5105" s="1"/>
      <c r="AE5105" s="1"/>
    </row>
    <row r="5106" spans="18:31" ht="75" customHeight="1">
      <c r="R5106" s="1"/>
      <c r="S5106" s="1"/>
      <c r="AD5106" s="1"/>
      <c r="AE5106" s="1"/>
    </row>
    <row r="5107" spans="18:31" ht="75" customHeight="1">
      <c r="R5107" s="1"/>
      <c r="S5107" s="1"/>
      <c r="AD5107" s="1"/>
      <c r="AE5107" s="1"/>
    </row>
    <row r="5108" spans="18:31" ht="75" customHeight="1">
      <c r="R5108" s="1"/>
      <c r="S5108" s="1"/>
      <c r="AD5108" s="1"/>
      <c r="AE5108" s="1"/>
    </row>
    <row r="5109" spans="18:31" ht="75" customHeight="1">
      <c r="R5109" s="1"/>
      <c r="S5109" s="1"/>
      <c r="AD5109" s="1"/>
      <c r="AE5109" s="1"/>
    </row>
    <row r="5110" spans="18:31" ht="75" customHeight="1">
      <c r="R5110" s="1"/>
      <c r="S5110" s="1"/>
      <c r="AD5110" s="1"/>
      <c r="AE5110" s="1"/>
    </row>
    <row r="5111" spans="18:31" ht="75" customHeight="1">
      <c r="R5111" s="1"/>
      <c r="S5111" s="1"/>
      <c r="AD5111" s="1"/>
      <c r="AE5111" s="1"/>
    </row>
    <row r="5112" spans="18:31" ht="75" customHeight="1">
      <c r="R5112" s="1"/>
      <c r="S5112" s="1"/>
      <c r="AD5112" s="1"/>
      <c r="AE5112" s="1"/>
    </row>
    <row r="5113" spans="18:31" ht="75" customHeight="1">
      <c r="R5113" s="1"/>
      <c r="S5113" s="1"/>
      <c r="AD5113" s="1"/>
      <c r="AE5113" s="1"/>
    </row>
    <row r="5114" spans="18:31" ht="75" customHeight="1">
      <c r="R5114" s="1"/>
      <c r="S5114" s="1"/>
      <c r="AD5114" s="1"/>
      <c r="AE5114" s="1"/>
    </row>
    <row r="5115" spans="18:31" ht="75" customHeight="1">
      <c r="R5115" s="1"/>
      <c r="S5115" s="1"/>
      <c r="AD5115" s="1"/>
      <c r="AE5115" s="1"/>
    </row>
    <row r="5116" spans="18:31" ht="75" customHeight="1">
      <c r="R5116" s="1"/>
      <c r="S5116" s="1"/>
      <c r="AD5116" s="1"/>
      <c r="AE5116" s="1"/>
    </row>
    <row r="5117" spans="18:31" ht="75" customHeight="1">
      <c r="R5117" s="1"/>
      <c r="S5117" s="1"/>
      <c r="AD5117" s="1"/>
      <c r="AE5117" s="1"/>
    </row>
    <row r="5118" spans="18:31" ht="75" customHeight="1">
      <c r="R5118" s="1"/>
      <c r="S5118" s="1"/>
      <c r="AD5118" s="1"/>
      <c r="AE5118" s="1"/>
    </row>
    <row r="5119" spans="18:31" ht="75" customHeight="1">
      <c r="R5119" s="1"/>
      <c r="S5119" s="1"/>
      <c r="AD5119" s="1"/>
      <c r="AE5119" s="1"/>
    </row>
    <row r="5120" spans="18:31" ht="75" customHeight="1">
      <c r="R5120" s="1"/>
      <c r="S5120" s="1"/>
      <c r="AD5120" s="1"/>
      <c r="AE5120" s="1"/>
    </row>
    <row r="5121" spans="18:31" ht="75" customHeight="1">
      <c r="R5121" s="1"/>
      <c r="S5121" s="1"/>
      <c r="AD5121" s="1"/>
      <c r="AE5121" s="1"/>
    </row>
    <row r="5122" spans="18:31" ht="75" customHeight="1">
      <c r="R5122" s="1"/>
      <c r="S5122" s="1"/>
      <c r="AD5122" s="1"/>
      <c r="AE5122" s="1"/>
    </row>
    <row r="5123" spans="18:31" ht="75" customHeight="1">
      <c r="R5123" s="1"/>
      <c r="S5123" s="1"/>
      <c r="AD5123" s="1"/>
      <c r="AE5123" s="1"/>
    </row>
    <row r="5124" spans="18:31" ht="75" customHeight="1">
      <c r="R5124" s="1"/>
      <c r="S5124" s="1"/>
      <c r="AD5124" s="1"/>
      <c r="AE5124" s="1"/>
    </row>
    <row r="5125" spans="18:31" ht="75" customHeight="1">
      <c r="R5125" s="1"/>
      <c r="S5125" s="1"/>
      <c r="AD5125" s="1"/>
      <c r="AE5125" s="1"/>
    </row>
    <row r="5126" spans="18:31" ht="75" customHeight="1">
      <c r="R5126" s="1"/>
      <c r="S5126" s="1"/>
      <c r="AD5126" s="1"/>
      <c r="AE5126" s="1"/>
    </row>
    <row r="5127" spans="18:31" ht="75" customHeight="1">
      <c r="R5127" s="1"/>
      <c r="S5127" s="1"/>
      <c r="AD5127" s="1"/>
      <c r="AE5127" s="1"/>
    </row>
    <row r="5128" spans="18:31" ht="75" customHeight="1">
      <c r="R5128" s="1"/>
      <c r="S5128" s="1"/>
      <c r="AD5128" s="1"/>
      <c r="AE5128" s="1"/>
    </row>
    <row r="5129" spans="18:31" ht="75" customHeight="1">
      <c r="R5129" s="1"/>
      <c r="S5129" s="1"/>
      <c r="AD5129" s="1"/>
      <c r="AE5129" s="1"/>
    </row>
    <row r="5130" spans="18:31" ht="75" customHeight="1">
      <c r="R5130" s="1"/>
      <c r="S5130" s="1"/>
      <c r="AD5130" s="1"/>
      <c r="AE5130" s="1"/>
    </row>
    <row r="5131" spans="18:31" ht="75" customHeight="1">
      <c r="R5131" s="1"/>
      <c r="S5131" s="1"/>
      <c r="AD5131" s="1"/>
      <c r="AE5131" s="1"/>
    </row>
    <row r="5132" spans="18:31" ht="75" customHeight="1">
      <c r="R5132" s="1"/>
      <c r="S5132" s="1"/>
      <c r="AD5132" s="1"/>
      <c r="AE5132" s="1"/>
    </row>
    <row r="5133" spans="18:31" ht="75" customHeight="1">
      <c r="R5133" s="1"/>
      <c r="S5133" s="1"/>
      <c r="AD5133" s="1"/>
      <c r="AE5133" s="1"/>
    </row>
    <row r="5134" spans="18:31" ht="75" customHeight="1">
      <c r="R5134" s="1"/>
      <c r="S5134" s="1"/>
      <c r="AD5134" s="1"/>
      <c r="AE5134" s="1"/>
    </row>
    <row r="5135" spans="18:31" ht="75" customHeight="1">
      <c r="R5135" s="1"/>
      <c r="S5135" s="1"/>
      <c r="AD5135" s="1"/>
      <c r="AE5135" s="1"/>
    </row>
    <row r="5136" spans="18:31" ht="75" customHeight="1">
      <c r="R5136" s="1"/>
      <c r="S5136" s="1"/>
      <c r="AD5136" s="1"/>
      <c r="AE5136" s="1"/>
    </row>
    <row r="5137" spans="18:31" ht="75" customHeight="1">
      <c r="R5137" s="1"/>
      <c r="S5137" s="1"/>
      <c r="AD5137" s="1"/>
      <c r="AE5137" s="1"/>
    </row>
    <row r="5138" spans="18:31" ht="75" customHeight="1">
      <c r="R5138" s="1"/>
      <c r="S5138" s="1"/>
      <c r="AD5138" s="1"/>
      <c r="AE5138" s="1"/>
    </row>
    <row r="5139" spans="18:31" ht="75" customHeight="1">
      <c r="R5139" s="1"/>
      <c r="S5139" s="1"/>
      <c r="AD5139" s="1"/>
      <c r="AE5139" s="1"/>
    </row>
    <row r="5140" spans="18:31" ht="75" customHeight="1">
      <c r="R5140" s="1"/>
      <c r="S5140" s="1"/>
      <c r="AD5140" s="1"/>
      <c r="AE5140" s="1"/>
    </row>
    <row r="5141" spans="18:31" ht="75" customHeight="1">
      <c r="R5141" s="1"/>
      <c r="S5141" s="1"/>
      <c r="AD5141" s="1"/>
      <c r="AE5141" s="1"/>
    </row>
    <row r="5142" spans="18:31" ht="75" customHeight="1">
      <c r="R5142" s="1"/>
      <c r="S5142" s="1"/>
      <c r="AD5142" s="1"/>
      <c r="AE5142" s="1"/>
    </row>
    <row r="5143" spans="18:31" ht="75" customHeight="1">
      <c r="R5143" s="1"/>
      <c r="S5143" s="1"/>
      <c r="AD5143" s="1"/>
      <c r="AE5143" s="1"/>
    </row>
    <row r="5144" spans="18:31" ht="75" customHeight="1">
      <c r="R5144" s="1"/>
      <c r="S5144" s="1"/>
      <c r="AD5144" s="1"/>
      <c r="AE5144" s="1"/>
    </row>
    <row r="5145" spans="18:31" ht="75" customHeight="1">
      <c r="R5145" s="1"/>
      <c r="S5145" s="1"/>
      <c r="AD5145" s="1"/>
      <c r="AE5145" s="1"/>
    </row>
    <row r="5146" spans="18:31" ht="75" customHeight="1">
      <c r="R5146" s="1"/>
      <c r="S5146" s="1"/>
      <c r="AD5146" s="1"/>
      <c r="AE5146" s="1"/>
    </row>
    <row r="5147" spans="18:31" ht="75" customHeight="1">
      <c r="R5147" s="1"/>
      <c r="S5147" s="1"/>
      <c r="AD5147" s="1"/>
      <c r="AE5147" s="1"/>
    </row>
    <row r="5148" spans="18:31" ht="75" customHeight="1">
      <c r="R5148" s="1"/>
      <c r="S5148" s="1"/>
      <c r="AD5148" s="1"/>
      <c r="AE5148" s="1"/>
    </row>
    <row r="5149" spans="18:31" ht="75" customHeight="1">
      <c r="R5149" s="1"/>
      <c r="S5149" s="1"/>
      <c r="AD5149" s="1"/>
      <c r="AE5149" s="1"/>
    </row>
    <row r="5150" spans="18:31" ht="75" customHeight="1">
      <c r="R5150" s="1"/>
      <c r="S5150" s="1"/>
      <c r="AD5150" s="1"/>
      <c r="AE5150" s="1"/>
    </row>
    <row r="5151" spans="18:31" ht="75" customHeight="1">
      <c r="R5151" s="1"/>
      <c r="S5151" s="1"/>
      <c r="AD5151" s="1"/>
      <c r="AE5151" s="1"/>
    </row>
    <row r="5152" spans="18:31" ht="75" customHeight="1">
      <c r="R5152" s="1"/>
      <c r="S5152" s="1"/>
      <c r="AD5152" s="1"/>
      <c r="AE5152" s="1"/>
    </row>
    <row r="5153" spans="18:31" ht="75" customHeight="1">
      <c r="R5153" s="1"/>
      <c r="S5153" s="1"/>
      <c r="AD5153" s="1"/>
      <c r="AE5153" s="1"/>
    </row>
    <row r="5154" spans="18:31" ht="75" customHeight="1">
      <c r="R5154" s="1"/>
      <c r="S5154" s="1"/>
      <c r="AD5154" s="1"/>
      <c r="AE5154" s="1"/>
    </row>
    <row r="5155" spans="18:31" ht="75" customHeight="1">
      <c r="R5155" s="1"/>
      <c r="S5155" s="1"/>
      <c r="AD5155" s="1"/>
      <c r="AE5155" s="1"/>
    </row>
    <row r="5156" spans="18:31" ht="75" customHeight="1">
      <c r="R5156" s="1"/>
      <c r="S5156" s="1"/>
      <c r="AD5156" s="1"/>
      <c r="AE5156" s="1"/>
    </row>
    <row r="5157" spans="18:31" ht="75" customHeight="1">
      <c r="R5157" s="1"/>
      <c r="S5157" s="1"/>
      <c r="AD5157" s="1"/>
      <c r="AE5157" s="1"/>
    </row>
    <row r="5158" spans="18:31" ht="75" customHeight="1">
      <c r="R5158" s="1"/>
      <c r="S5158" s="1"/>
      <c r="AD5158" s="1"/>
      <c r="AE5158" s="1"/>
    </row>
    <row r="5159" spans="18:31" ht="75" customHeight="1">
      <c r="R5159" s="1"/>
      <c r="S5159" s="1"/>
      <c r="AD5159" s="1"/>
      <c r="AE5159" s="1"/>
    </row>
    <row r="5160" spans="18:31" ht="75" customHeight="1">
      <c r="R5160" s="1"/>
      <c r="S5160" s="1"/>
      <c r="AD5160" s="1"/>
      <c r="AE5160" s="1"/>
    </row>
    <row r="5161" spans="18:31" ht="75" customHeight="1">
      <c r="R5161" s="1"/>
      <c r="S5161" s="1"/>
      <c r="AD5161" s="1"/>
      <c r="AE5161" s="1"/>
    </row>
    <row r="5162" spans="18:31" ht="75" customHeight="1">
      <c r="R5162" s="1"/>
      <c r="S5162" s="1"/>
      <c r="AD5162" s="1"/>
      <c r="AE5162" s="1"/>
    </row>
    <row r="5163" spans="18:31" ht="75" customHeight="1">
      <c r="R5163" s="1"/>
      <c r="S5163" s="1"/>
      <c r="AD5163" s="1"/>
      <c r="AE5163" s="1"/>
    </row>
    <row r="5164" spans="18:31" ht="75" customHeight="1">
      <c r="R5164" s="1"/>
      <c r="S5164" s="1"/>
      <c r="AD5164" s="1"/>
      <c r="AE5164" s="1"/>
    </row>
    <row r="5165" spans="18:31" ht="75" customHeight="1">
      <c r="R5165" s="1"/>
      <c r="S5165" s="1"/>
      <c r="AD5165" s="1"/>
      <c r="AE5165" s="1"/>
    </row>
    <row r="5166" spans="18:31" ht="75" customHeight="1">
      <c r="R5166" s="1"/>
      <c r="S5166" s="1"/>
      <c r="AD5166" s="1"/>
      <c r="AE5166" s="1"/>
    </row>
    <row r="5167" spans="18:31" ht="75" customHeight="1">
      <c r="R5167" s="1"/>
      <c r="S5167" s="1"/>
      <c r="AD5167" s="1"/>
      <c r="AE5167" s="1"/>
    </row>
    <row r="5168" spans="18:31" ht="75" customHeight="1">
      <c r="R5168" s="1"/>
      <c r="S5168" s="1"/>
      <c r="AD5168" s="1"/>
      <c r="AE5168" s="1"/>
    </row>
    <row r="5169" spans="18:31" ht="75" customHeight="1">
      <c r="R5169" s="1"/>
      <c r="S5169" s="1"/>
      <c r="AD5169" s="1"/>
      <c r="AE5169" s="1"/>
    </row>
    <row r="5170" spans="18:31" ht="75" customHeight="1">
      <c r="R5170" s="1"/>
      <c r="S5170" s="1"/>
      <c r="AD5170" s="1"/>
      <c r="AE5170" s="1"/>
    </row>
    <row r="5171" spans="18:31" ht="75" customHeight="1">
      <c r="R5171" s="1"/>
      <c r="S5171" s="1"/>
      <c r="AD5171" s="1"/>
      <c r="AE5171" s="1"/>
    </row>
    <row r="5172" spans="18:31" ht="75" customHeight="1">
      <c r="R5172" s="1"/>
      <c r="S5172" s="1"/>
      <c r="AD5172" s="1"/>
      <c r="AE5172" s="1"/>
    </row>
    <row r="5173" spans="18:31" ht="75" customHeight="1">
      <c r="R5173" s="1"/>
      <c r="S5173" s="1"/>
      <c r="AD5173" s="1"/>
      <c r="AE5173" s="1"/>
    </row>
    <row r="5174" spans="18:31" ht="75" customHeight="1">
      <c r="R5174" s="1"/>
      <c r="S5174" s="1"/>
      <c r="AD5174" s="1"/>
      <c r="AE5174" s="1"/>
    </row>
    <row r="5175" spans="18:31" ht="75" customHeight="1">
      <c r="R5175" s="1"/>
      <c r="S5175" s="1"/>
      <c r="AD5175" s="1"/>
      <c r="AE5175" s="1"/>
    </row>
    <row r="5176" spans="18:31" ht="75" customHeight="1">
      <c r="R5176" s="1"/>
      <c r="S5176" s="1"/>
      <c r="AD5176" s="1"/>
      <c r="AE5176" s="1"/>
    </row>
    <row r="5177" spans="18:31" ht="75" customHeight="1">
      <c r="R5177" s="1"/>
      <c r="S5177" s="1"/>
      <c r="AD5177" s="1"/>
      <c r="AE5177" s="1"/>
    </row>
    <row r="5178" spans="18:31" ht="75" customHeight="1">
      <c r="R5178" s="1"/>
      <c r="S5178" s="1"/>
      <c r="AD5178" s="1"/>
      <c r="AE5178" s="1"/>
    </row>
    <row r="5179" spans="18:31" ht="75" customHeight="1">
      <c r="R5179" s="1"/>
      <c r="S5179" s="1"/>
      <c r="AD5179" s="1"/>
      <c r="AE5179" s="1"/>
    </row>
    <row r="5180" spans="18:31" ht="75" customHeight="1">
      <c r="R5180" s="1"/>
      <c r="S5180" s="1"/>
      <c r="AD5180" s="1"/>
      <c r="AE5180" s="1"/>
    </row>
    <row r="5181" spans="18:31" ht="75" customHeight="1">
      <c r="R5181" s="1"/>
      <c r="S5181" s="1"/>
      <c r="AD5181" s="1"/>
      <c r="AE5181" s="1"/>
    </row>
    <row r="5182" spans="18:31" ht="75" customHeight="1">
      <c r="R5182" s="1"/>
      <c r="S5182" s="1"/>
      <c r="AD5182" s="1"/>
      <c r="AE5182" s="1"/>
    </row>
    <row r="5183" spans="18:31" ht="75" customHeight="1">
      <c r="R5183" s="1"/>
      <c r="S5183" s="1"/>
      <c r="AD5183" s="1"/>
      <c r="AE5183" s="1"/>
    </row>
    <row r="5184" spans="18:31" ht="75" customHeight="1">
      <c r="R5184" s="1"/>
      <c r="S5184" s="1"/>
      <c r="AD5184" s="1"/>
      <c r="AE5184" s="1"/>
    </row>
    <row r="5185" spans="18:31" ht="75" customHeight="1">
      <c r="R5185" s="1"/>
      <c r="S5185" s="1"/>
      <c r="AD5185" s="1"/>
      <c r="AE5185" s="1"/>
    </row>
    <row r="5186" spans="18:31" ht="75" customHeight="1">
      <c r="R5186" s="1"/>
      <c r="S5186" s="1"/>
      <c r="AD5186" s="1"/>
      <c r="AE5186" s="1"/>
    </row>
    <row r="5187" spans="18:31" ht="75" customHeight="1">
      <c r="R5187" s="1"/>
      <c r="S5187" s="1"/>
      <c r="AD5187" s="1"/>
      <c r="AE5187" s="1"/>
    </row>
    <row r="5188" spans="18:31" ht="75" customHeight="1">
      <c r="R5188" s="1"/>
      <c r="S5188" s="1"/>
      <c r="AD5188" s="1"/>
      <c r="AE5188" s="1"/>
    </row>
    <row r="5189" spans="18:31" ht="75" customHeight="1">
      <c r="R5189" s="1"/>
      <c r="S5189" s="1"/>
      <c r="AD5189" s="1"/>
      <c r="AE5189" s="1"/>
    </row>
    <row r="5190" spans="18:31" ht="75" customHeight="1">
      <c r="R5190" s="1"/>
      <c r="S5190" s="1"/>
      <c r="AD5190" s="1"/>
      <c r="AE5190" s="1"/>
    </row>
    <row r="5191" spans="18:31" ht="75" customHeight="1">
      <c r="R5191" s="1"/>
      <c r="S5191" s="1"/>
      <c r="AD5191" s="1"/>
      <c r="AE5191" s="1"/>
    </row>
    <row r="5192" spans="18:31" ht="75" customHeight="1">
      <c r="R5192" s="1"/>
      <c r="S5192" s="1"/>
      <c r="AD5192" s="1"/>
      <c r="AE5192" s="1"/>
    </row>
    <row r="5193" spans="18:31" ht="75" customHeight="1">
      <c r="R5193" s="1"/>
      <c r="S5193" s="1"/>
      <c r="AD5193" s="1"/>
      <c r="AE5193" s="1"/>
    </row>
    <row r="5194" spans="18:31" ht="75" customHeight="1">
      <c r="R5194" s="1"/>
      <c r="S5194" s="1"/>
      <c r="AD5194" s="1"/>
      <c r="AE5194" s="1"/>
    </row>
    <row r="5195" spans="18:31" ht="75" customHeight="1">
      <c r="R5195" s="1"/>
      <c r="S5195" s="1"/>
      <c r="AD5195" s="1"/>
      <c r="AE5195" s="1"/>
    </row>
    <row r="5196" spans="18:31" ht="75" customHeight="1">
      <c r="R5196" s="1"/>
      <c r="S5196" s="1"/>
      <c r="AD5196" s="1"/>
      <c r="AE5196" s="1"/>
    </row>
    <row r="5197" spans="18:31" ht="75" customHeight="1">
      <c r="R5197" s="1"/>
      <c r="S5197" s="1"/>
      <c r="AD5197" s="1"/>
      <c r="AE5197" s="1"/>
    </row>
    <row r="5198" spans="18:31" ht="75" customHeight="1">
      <c r="R5198" s="1"/>
      <c r="S5198" s="1"/>
      <c r="AD5198" s="1"/>
      <c r="AE5198" s="1"/>
    </row>
    <row r="5199" spans="18:31" ht="75" customHeight="1">
      <c r="R5199" s="1"/>
      <c r="S5199" s="1"/>
      <c r="AD5199" s="1"/>
      <c r="AE5199" s="1"/>
    </row>
    <row r="5200" spans="18:31" ht="75" customHeight="1">
      <c r="R5200" s="1"/>
      <c r="S5200" s="1"/>
      <c r="AD5200" s="1"/>
      <c r="AE5200" s="1"/>
    </row>
    <row r="5201" spans="18:31" ht="75" customHeight="1">
      <c r="R5201" s="1"/>
      <c r="S5201" s="1"/>
      <c r="AD5201" s="1"/>
      <c r="AE5201" s="1"/>
    </row>
    <row r="5202" spans="18:31" ht="75" customHeight="1">
      <c r="R5202" s="1"/>
      <c r="S5202" s="1"/>
      <c r="AD5202" s="1"/>
      <c r="AE5202" s="1"/>
    </row>
    <row r="5203" spans="18:31" ht="75" customHeight="1">
      <c r="R5203" s="1"/>
      <c r="S5203" s="1"/>
      <c r="AD5203" s="1"/>
      <c r="AE5203" s="1"/>
    </row>
    <row r="5204" spans="18:31" ht="75" customHeight="1">
      <c r="R5204" s="1"/>
      <c r="S5204" s="1"/>
      <c r="AD5204" s="1"/>
      <c r="AE5204" s="1"/>
    </row>
    <row r="5205" spans="18:31" ht="75" customHeight="1">
      <c r="R5205" s="1"/>
      <c r="S5205" s="1"/>
      <c r="AD5205" s="1"/>
      <c r="AE5205" s="1"/>
    </row>
    <row r="5206" spans="18:31" ht="75" customHeight="1">
      <c r="R5206" s="1"/>
      <c r="S5206" s="1"/>
      <c r="AD5206" s="1"/>
      <c r="AE5206" s="1"/>
    </row>
    <row r="5207" spans="18:31" ht="75" customHeight="1">
      <c r="R5207" s="1"/>
      <c r="S5207" s="1"/>
      <c r="AD5207" s="1"/>
      <c r="AE5207" s="1"/>
    </row>
    <row r="5208" spans="18:31" ht="75" customHeight="1">
      <c r="R5208" s="1"/>
      <c r="S5208" s="1"/>
      <c r="AD5208" s="1"/>
      <c r="AE5208" s="1"/>
    </row>
    <row r="5209" spans="18:31" ht="75" customHeight="1">
      <c r="R5209" s="1"/>
      <c r="S5209" s="1"/>
      <c r="AD5209" s="1"/>
      <c r="AE5209" s="1"/>
    </row>
    <row r="5210" spans="18:31" ht="75" customHeight="1">
      <c r="R5210" s="1"/>
      <c r="S5210" s="1"/>
      <c r="AD5210" s="1"/>
      <c r="AE5210" s="1"/>
    </row>
    <row r="5211" spans="18:31" ht="75" customHeight="1">
      <c r="R5211" s="1"/>
      <c r="S5211" s="1"/>
      <c r="AD5211" s="1"/>
      <c r="AE5211" s="1"/>
    </row>
    <row r="5212" spans="18:31" ht="75" customHeight="1">
      <c r="R5212" s="1"/>
      <c r="S5212" s="1"/>
      <c r="AD5212" s="1"/>
      <c r="AE5212" s="1"/>
    </row>
    <row r="5213" spans="18:31" ht="75" customHeight="1">
      <c r="R5213" s="1"/>
      <c r="S5213" s="1"/>
      <c r="AD5213" s="1"/>
      <c r="AE5213" s="1"/>
    </row>
    <row r="5214" spans="18:31" ht="75" customHeight="1">
      <c r="R5214" s="1"/>
      <c r="S5214" s="1"/>
      <c r="AD5214" s="1"/>
      <c r="AE5214" s="1"/>
    </row>
    <row r="5215" spans="18:31" ht="75" customHeight="1">
      <c r="R5215" s="1"/>
      <c r="S5215" s="1"/>
      <c r="AD5215" s="1"/>
      <c r="AE5215" s="1"/>
    </row>
    <row r="5216" spans="18:31" ht="75" customHeight="1">
      <c r="R5216" s="1"/>
      <c r="S5216" s="1"/>
      <c r="AD5216" s="1"/>
      <c r="AE5216" s="1"/>
    </row>
    <row r="5217" spans="18:31" ht="75" customHeight="1">
      <c r="R5217" s="1"/>
      <c r="S5217" s="1"/>
      <c r="AD5217" s="1"/>
      <c r="AE5217" s="1"/>
    </row>
    <row r="5218" spans="18:31" ht="75" customHeight="1">
      <c r="R5218" s="1"/>
      <c r="S5218" s="1"/>
      <c r="AD5218" s="1"/>
      <c r="AE5218" s="1"/>
    </row>
    <row r="5219" spans="18:31" ht="75" customHeight="1">
      <c r="R5219" s="1"/>
      <c r="S5219" s="1"/>
      <c r="AD5219" s="1"/>
      <c r="AE5219" s="1"/>
    </row>
    <row r="5220" spans="18:31" ht="75" customHeight="1">
      <c r="R5220" s="1"/>
      <c r="S5220" s="1"/>
      <c r="AD5220" s="1"/>
      <c r="AE5220" s="1"/>
    </row>
    <row r="5221" spans="18:31" ht="75" customHeight="1">
      <c r="R5221" s="1"/>
      <c r="S5221" s="1"/>
      <c r="AD5221" s="1"/>
      <c r="AE5221" s="1"/>
    </row>
    <row r="5222" spans="18:31" ht="75" customHeight="1">
      <c r="R5222" s="1"/>
      <c r="S5222" s="1"/>
      <c r="AD5222" s="1"/>
      <c r="AE5222" s="1"/>
    </row>
    <row r="5223" spans="18:31" ht="75" customHeight="1">
      <c r="R5223" s="1"/>
      <c r="S5223" s="1"/>
      <c r="AD5223" s="1"/>
      <c r="AE5223" s="1"/>
    </row>
    <row r="5224" spans="18:31" ht="75" customHeight="1">
      <c r="R5224" s="1"/>
      <c r="S5224" s="1"/>
      <c r="AD5224" s="1"/>
      <c r="AE5224" s="1"/>
    </row>
    <row r="5225" spans="18:31" ht="75" customHeight="1">
      <c r="R5225" s="1"/>
      <c r="S5225" s="1"/>
      <c r="AD5225" s="1"/>
      <c r="AE5225" s="1"/>
    </row>
    <row r="5226" spans="18:31" ht="75" customHeight="1">
      <c r="R5226" s="1"/>
      <c r="S5226" s="1"/>
      <c r="AD5226" s="1"/>
      <c r="AE5226" s="1"/>
    </row>
    <row r="5227" spans="18:31" ht="75" customHeight="1">
      <c r="R5227" s="1"/>
      <c r="S5227" s="1"/>
      <c r="AD5227" s="1"/>
      <c r="AE5227" s="1"/>
    </row>
    <row r="5228" spans="18:31" ht="75" customHeight="1">
      <c r="R5228" s="1"/>
      <c r="S5228" s="1"/>
      <c r="AD5228" s="1"/>
      <c r="AE5228" s="1"/>
    </row>
    <row r="5229" spans="18:31" ht="75" customHeight="1">
      <c r="R5229" s="1"/>
      <c r="S5229" s="1"/>
      <c r="AD5229" s="1"/>
      <c r="AE5229" s="1"/>
    </row>
    <row r="5230" spans="18:31" ht="75" customHeight="1">
      <c r="R5230" s="1"/>
      <c r="S5230" s="1"/>
      <c r="AD5230" s="1"/>
      <c r="AE5230" s="1"/>
    </row>
    <row r="5231" spans="18:31" ht="75" customHeight="1">
      <c r="R5231" s="1"/>
      <c r="S5231" s="1"/>
      <c r="AD5231" s="1"/>
      <c r="AE5231" s="1"/>
    </row>
    <row r="5232" spans="18:31" ht="75" customHeight="1">
      <c r="R5232" s="1"/>
      <c r="S5232" s="1"/>
      <c r="AD5232" s="1"/>
      <c r="AE5232" s="1"/>
    </row>
    <row r="5233" spans="18:31" ht="75" customHeight="1">
      <c r="R5233" s="1"/>
      <c r="S5233" s="1"/>
      <c r="AD5233" s="1"/>
      <c r="AE5233" s="1"/>
    </row>
    <row r="5234" spans="18:31" ht="75" customHeight="1">
      <c r="R5234" s="1"/>
      <c r="S5234" s="1"/>
      <c r="AD5234" s="1"/>
      <c r="AE5234" s="1"/>
    </row>
    <row r="5235" spans="18:31" ht="75" customHeight="1">
      <c r="R5235" s="1"/>
      <c r="S5235" s="1"/>
      <c r="AD5235" s="1"/>
      <c r="AE5235" s="1"/>
    </row>
    <row r="5236" spans="18:31" ht="75" customHeight="1">
      <c r="R5236" s="1"/>
      <c r="S5236" s="1"/>
      <c r="AD5236" s="1"/>
      <c r="AE5236" s="1"/>
    </row>
    <row r="5237" spans="18:31" ht="75" customHeight="1">
      <c r="R5237" s="1"/>
      <c r="S5237" s="1"/>
      <c r="AD5237" s="1"/>
      <c r="AE5237" s="1"/>
    </row>
    <row r="5238" spans="18:31" ht="75" customHeight="1">
      <c r="R5238" s="1"/>
      <c r="S5238" s="1"/>
      <c r="AD5238" s="1"/>
      <c r="AE5238" s="1"/>
    </row>
    <row r="5239" spans="18:31" ht="75" customHeight="1">
      <c r="R5239" s="1"/>
      <c r="S5239" s="1"/>
      <c r="AD5239" s="1"/>
      <c r="AE5239" s="1"/>
    </row>
    <row r="5240" spans="18:31" ht="75" customHeight="1">
      <c r="R5240" s="1"/>
      <c r="S5240" s="1"/>
      <c r="AD5240" s="1"/>
      <c r="AE5240" s="1"/>
    </row>
    <row r="5241" spans="18:31" ht="75" customHeight="1">
      <c r="R5241" s="1"/>
      <c r="S5241" s="1"/>
      <c r="AD5241" s="1"/>
      <c r="AE5241" s="1"/>
    </row>
    <row r="5242" spans="18:31" ht="75" customHeight="1">
      <c r="R5242" s="1"/>
      <c r="S5242" s="1"/>
      <c r="AD5242" s="1"/>
      <c r="AE5242" s="1"/>
    </row>
    <row r="5243" spans="18:31" ht="75" customHeight="1">
      <c r="R5243" s="1"/>
      <c r="S5243" s="1"/>
      <c r="AD5243" s="1"/>
      <c r="AE5243" s="1"/>
    </row>
    <row r="5244" spans="18:31" ht="75" customHeight="1">
      <c r="R5244" s="1"/>
      <c r="S5244" s="1"/>
      <c r="AD5244" s="1"/>
      <c r="AE5244" s="1"/>
    </row>
    <row r="5245" spans="18:31" ht="75" customHeight="1">
      <c r="R5245" s="1"/>
      <c r="S5245" s="1"/>
      <c r="AD5245" s="1"/>
      <c r="AE5245" s="1"/>
    </row>
    <row r="5246" spans="18:31" ht="75" customHeight="1">
      <c r="R5246" s="1"/>
      <c r="S5246" s="1"/>
      <c r="AD5246" s="1"/>
      <c r="AE5246" s="1"/>
    </row>
    <row r="5247" spans="18:31" ht="75" customHeight="1">
      <c r="R5247" s="1"/>
      <c r="S5247" s="1"/>
      <c r="AD5247" s="1"/>
      <c r="AE5247" s="1"/>
    </row>
    <row r="5248" spans="18:31" ht="75" customHeight="1">
      <c r="R5248" s="1"/>
      <c r="S5248" s="1"/>
      <c r="AD5248" s="1"/>
      <c r="AE5248" s="1"/>
    </row>
    <row r="5249" spans="18:31" ht="75" customHeight="1">
      <c r="R5249" s="1"/>
      <c r="S5249" s="1"/>
      <c r="AD5249" s="1"/>
      <c r="AE5249" s="1"/>
    </row>
    <row r="5250" spans="18:31" ht="75" customHeight="1">
      <c r="R5250" s="1"/>
      <c r="S5250" s="1"/>
      <c r="AD5250" s="1"/>
      <c r="AE5250" s="1"/>
    </row>
    <row r="5251" spans="18:31" ht="75" customHeight="1">
      <c r="R5251" s="1"/>
      <c r="S5251" s="1"/>
      <c r="AD5251" s="1"/>
      <c r="AE5251" s="1"/>
    </row>
    <row r="5252" spans="18:31" ht="75" customHeight="1">
      <c r="R5252" s="1"/>
      <c r="S5252" s="1"/>
      <c r="AD5252" s="1"/>
      <c r="AE5252" s="1"/>
    </row>
    <row r="5253" spans="18:31" ht="75" customHeight="1">
      <c r="R5253" s="1"/>
      <c r="S5253" s="1"/>
      <c r="AD5253" s="1"/>
      <c r="AE5253" s="1"/>
    </row>
    <row r="5254" spans="18:31" ht="75" customHeight="1">
      <c r="R5254" s="1"/>
      <c r="S5254" s="1"/>
      <c r="AD5254" s="1"/>
      <c r="AE5254" s="1"/>
    </row>
    <row r="5255" spans="18:31" ht="75" customHeight="1">
      <c r="R5255" s="1"/>
      <c r="S5255" s="1"/>
      <c r="AD5255" s="1"/>
      <c r="AE5255" s="1"/>
    </row>
    <row r="5256" spans="18:31" ht="75" customHeight="1">
      <c r="R5256" s="1"/>
      <c r="S5256" s="1"/>
      <c r="AD5256" s="1"/>
      <c r="AE5256" s="1"/>
    </row>
    <row r="5257" spans="18:31" ht="75" customHeight="1">
      <c r="R5257" s="1"/>
      <c r="S5257" s="1"/>
      <c r="AD5257" s="1"/>
      <c r="AE5257" s="1"/>
    </row>
    <row r="5258" spans="18:31" ht="75" customHeight="1">
      <c r="R5258" s="1"/>
      <c r="S5258" s="1"/>
      <c r="AD5258" s="1"/>
      <c r="AE5258" s="1"/>
    </row>
    <row r="5259" spans="18:31" ht="75" customHeight="1">
      <c r="R5259" s="1"/>
      <c r="S5259" s="1"/>
      <c r="AD5259" s="1"/>
      <c r="AE5259" s="1"/>
    </row>
    <row r="5260" spans="18:31" ht="75" customHeight="1">
      <c r="R5260" s="1"/>
      <c r="S5260" s="1"/>
      <c r="AD5260" s="1"/>
      <c r="AE5260" s="1"/>
    </row>
    <row r="5261" spans="18:31" ht="75" customHeight="1">
      <c r="R5261" s="1"/>
      <c r="S5261" s="1"/>
      <c r="AD5261" s="1"/>
      <c r="AE5261" s="1"/>
    </row>
    <row r="5262" spans="18:31" ht="75" customHeight="1">
      <c r="R5262" s="1"/>
      <c r="S5262" s="1"/>
      <c r="AD5262" s="1"/>
      <c r="AE5262" s="1"/>
    </row>
    <row r="5263" spans="18:31" ht="75" customHeight="1">
      <c r="R5263" s="1"/>
      <c r="S5263" s="1"/>
      <c r="AD5263" s="1"/>
      <c r="AE5263" s="1"/>
    </row>
    <row r="5264" spans="18:31" ht="75" customHeight="1">
      <c r="R5264" s="1"/>
      <c r="S5264" s="1"/>
      <c r="AD5264" s="1"/>
      <c r="AE5264" s="1"/>
    </row>
    <row r="5265" spans="18:31" ht="75" customHeight="1">
      <c r="R5265" s="1"/>
      <c r="S5265" s="1"/>
      <c r="AD5265" s="1"/>
      <c r="AE5265" s="1"/>
    </row>
    <row r="5266" spans="18:31" ht="75" customHeight="1">
      <c r="R5266" s="1"/>
      <c r="S5266" s="1"/>
      <c r="AD5266" s="1"/>
      <c r="AE5266" s="1"/>
    </row>
    <row r="5267" spans="18:31" ht="75" customHeight="1">
      <c r="R5267" s="1"/>
      <c r="S5267" s="1"/>
      <c r="AD5267" s="1"/>
      <c r="AE5267" s="1"/>
    </row>
    <row r="5268" spans="18:31" ht="75" customHeight="1">
      <c r="R5268" s="1"/>
      <c r="S5268" s="1"/>
      <c r="AD5268" s="1"/>
      <c r="AE5268" s="1"/>
    </row>
    <row r="5269" spans="18:31" ht="75" customHeight="1">
      <c r="R5269" s="1"/>
      <c r="S5269" s="1"/>
      <c r="AD5269" s="1"/>
      <c r="AE5269" s="1"/>
    </row>
    <row r="5270" spans="18:31" ht="75" customHeight="1">
      <c r="R5270" s="1"/>
      <c r="S5270" s="1"/>
      <c r="AD5270" s="1"/>
      <c r="AE5270" s="1"/>
    </row>
    <row r="5271" spans="18:31" ht="75" customHeight="1">
      <c r="R5271" s="1"/>
      <c r="S5271" s="1"/>
      <c r="AD5271" s="1"/>
      <c r="AE5271" s="1"/>
    </row>
    <row r="5272" spans="18:31" ht="75" customHeight="1">
      <c r="R5272" s="1"/>
      <c r="S5272" s="1"/>
      <c r="AD5272" s="1"/>
      <c r="AE5272" s="1"/>
    </row>
    <row r="5273" spans="18:31" ht="75" customHeight="1">
      <c r="R5273" s="1"/>
      <c r="S5273" s="1"/>
      <c r="AD5273" s="1"/>
      <c r="AE5273" s="1"/>
    </row>
    <row r="5274" spans="18:31" ht="75" customHeight="1">
      <c r="R5274" s="1"/>
      <c r="S5274" s="1"/>
      <c r="AD5274" s="1"/>
      <c r="AE5274" s="1"/>
    </row>
    <row r="5275" spans="18:31" ht="75" customHeight="1">
      <c r="R5275" s="1"/>
      <c r="S5275" s="1"/>
      <c r="AD5275" s="1"/>
      <c r="AE5275" s="1"/>
    </row>
    <row r="5276" spans="18:31" ht="75" customHeight="1">
      <c r="R5276" s="1"/>
      <c r="S5276" s="1"/>
      <c r="AD5276" s="1"/>
      <c r="AE5276" s="1"/>
    </row>
    <row r="5277" spans="18:31" ht="75" customHeight="1">
      <c r="R5277" s="1"/>
      <c r="S5277" s="1"/>
      <c r="AD5277" s="1"/>
      <c r="AE5277" s="1"/>
    </row>
    <row r="5278" spans="18:31" ht="75" customHeight="1">
      <c r="R5278" s="1"/>
      <c r="S5278" s="1"/>
      <c r="AD5278" s="1"/>
      <c r="AE5278" s="1"/>
    </row>
    <row r="5279" spans="18:31" ht="75" customHeight="1">
      <c r="R5279" s="1"/>
      <c r="S5279" s="1"/>
      <c r="AD5279" s="1"/>
      <c r="AE5279" s="1"/>
    </row>
    <row r="5280" spans="18:31" ht="75" customHeight="1">
      <c r="R5280" s="1"/>
      <c r="S5280" s="1"/>
      <c r="AD5280" s="1"/>
      <c r="AE5280" s="1"/>
    </row>
    <row r="5281" spans="18:31" ht="75" customHeight="1">
      <c r="R5281" s="1"/>
      <c r="S5281" s="1"/>
      <c r="AD5281" s="1"/>
      <c r="AE5281" s="1"/>
    </row>
    <row r="5282" spans="18:31" ht="75" customHeight="1">
      <c r="R5282" s="1"/>
      <c r="S5282" s="1"/>
      <c r="AD5282" s="1"/>
      <c r="AE5282" s="1"/>
    </row>
    <row r="5283" spans="18:31" ht="75" customHeight="1">
      <c r="R5283" s="1"/>
      <c r="S5283" s="1"/>
      <c r="AD5283" s="1"/>
      <c r="AE5283" s="1"/>
    </row>
    <row r="5284" spans="18:31" ht="75" customHeight="1">
      <c r="R5284" s="1"/>
      <c r="S5284" s="1"/>
      <c r="AD5284" s="1"/>
      <c r="AE5284" s="1"/>
    </row>
    <row r="5285" spans="18:31" ht="75" customHeight="1">
      <c r="R5285" s="1"/>
      <c r="S5285" s="1"/>
      <c r="AD5285" s="1"/>
      <c r="AE5285" s="1"/>
    </row>
    <row r="5286" spans="18:31" ht="75" customHeight="1">
      <c r="R5286" s="1"/>
      <c r="S5286" s="1"/>
      <c r="AD5286" s="1"/>
      <c r="AE5286" s="1"/>
    </row>
    <row r="5287" spans="18:31" ht="75" customHeight="1">
      <c r="R5287" s="1"/>
      <c r="S5287" s="1"/>
      <c r="AD5287" s="1"/>
      <c r="AE5287" s="1"/>
    </row>
    <row r="5288" spans="18:31" ht="75" customHeight="1">
      <c r="R5288" s="1"/>
      <c r="S5288" s="1"/>
      <c r="AD5288" s="1"/>
      <c r="AE5288" s="1"/>
    </row>
    <row r="5289" spans="18:31" ht="75" customHeight="1">
      <c r="R5289" s="1"/>
      <c r="S5289" s="1"/>
      <c r="AD5289" s="1"/>
      <c r="AE5289" s="1"/>
    </row>
    <row r="5290" spans="18:31" ht="75" customHeight="1">
      <c r="R5290" s="1"/>
      <c r="S5290" s="1"/>
      <c r="AD5290" s="1"/>
      <c r="AE5290" s="1"/>
    </row>
    <row r="5291" spans="18:31" ht="75" customHeight="1">
      <c r="R5291" s="1"/>
      <c r="S5291" s="1"/>
      <c r="AD5291" s="1"/>
      <c r="AE5291" s="1"/>
    </row>
    <row r="5292" spans="18:31" ht="75" customHeight="1">
      <c r="R5292" s="1"/>
      <c r="S5292" s="1"/>
      <c r="AD5292" s="1"/>
      <c r="AE5292" s="1"/>
    </row>
    <row r="5293" spans="18:31" ht="75" customHeight="1">
      <c r="R5293" s="1"/>
      <c r="S5293" s="1"/>
      <c r="AD5293" s="1"/>
      <c r="AE5293" s="1"/>
    </row>
    <row r="5294" spans="18:31" ht="75" customHeight="1">
      <c r="R5294" s="1"/>
      <c r="S5294" s="1"/>
      <c r="AD5294" s="1"/>
      <c r="AE5294" s="1"/>
    </row>
    <row r="5295" spans="18:31" ht="75" customHeight="1">
      <c r="R5295" s="1"/>
      <c r="S5295" s="1"/>
      <c r="AD5295" s="1"/>
      <c r="AE5295" s="1"/>
    </row>
    <row r="5296" spans="18:31" ht="75" customHeight="1">
      <c r="R5296" s="1"/>
      <c r="S5296" s="1"/>
      <c r="AD5296" s="1"/>
      <c r="AE5296" s="1"/>
    </row>
    <row r="5297" spans="18:31" ht="75" customHeight="1">
      <c r="R5297" s="1"/>
      <c r="S5297" s="1"/>
      <c r="AD5297" s="1"/>
      <c r="AE5297" s="1"/>
    </row>
    <row r="5298" spans="18:31" ht="75" customHeight="1">
      <c r="R5298" s="1"/>
      <c r="S5298" s="1"/>
      <c r="AD5298" s="1"/>
      <c r="AE5298" s="1"/>
    </row>
    <row r="5299" spans="18:31" ht="75" customHeight="1">
      <c r="R5299" s="1"/>
      <c r="S5299" s="1"/>
      <c r="AD5299" s="1"/>
      <c r="AE5299" s="1"/>
    </row>
    <row r="5300" spans="18:31" ht="75" customHeight="1">
      <c r="R5300" s="1"/>
      <c r="S5300" s="1"/>
      <c r="AD5300" s="1"/>
      <c r="AE5300" s="1"/>
    </row>
    <row r="5301" spans="18:31" ht="75" customHeight="1">
      <c r="R5301" s="1"/>
      <c r="S5301" s="1"/>
      <c r="AD5301" s="1"/>
      <c r="AE5301" s="1"/>
    </row>
    <row r="5302" spans="18:31" ht="75" customHeight="1">
      <c r="R5302" s="1"/>
      <c r="S5302" s="1"/>
      <c r="AD5302" s="1"/>
      <c r="AE5302" s="1"/>
    </row>
    <row r="5303" spans="18:31" ht="75" customHeight="1">
      <c r="R5303" s="1"/>
      <c r="S5303" s="1"/>
      <c r="AD5303" s="1"/>
      <c r="AE5303" s="1"/>
    </row>
    <row r="5304" spans="18:31" ht="75" customHeight="1">
      <c r="R5304" s="1"/>
      <c r="S5304" s="1"/>
      <c r="AD5304" s="1"/>
      <c r="AE5304" s="1"/>
    </row>
    <row r="5305" spans="18:31" ht="75" customHeight="1">
      <c r="R5305" s="1"/>
      <c r="S5305" s="1"/>
      <c r="AD5305" s="1"/>
      <c r="AE5305" s="1"/>
    </row>
    <row r="5306" spans="18:31" ht="75" customHeight="1">
      <c r="R5306" s="1"/>
      <c r="S5306" s="1"/>
      <c r="AD5306" s="1"/>
      <c r="AE5306" s="1"/>
    </row>
    <row r="5307" spans="18:31" ht="75" customHeight="1">
      <c r="R5307" s="1"/>
      <c r="S5307" s="1"/>
      <c r="AD5307" s="1"/>
      <c r="AE5307" s="1"/>
    </row>
    <row r="5308" spans="18:31" ht="75" customHeight="1">
      <c r="R5308" s="1"/>
      <c r="S5308" s="1"/>
      <c r="AD5308" s="1"/>
      <c r="AE5308" s="1"/>
    </row>
    <row r="5309" spans="18:31" ht="75" customHeight="1">
      <c r="R5309" s="1"/>
      <c r="S5309" s="1"/>
      <c r="AD5309" s="1"/>
      <c r="AE5309" s="1"/>
    </row>
    <row r="5310" spans="18:31" ht="75" customHeight="1">
      <c r="R5310" s="1"/>
      <c r="S5310" s="1"/>
      <c r="AD5310" s="1"/>
      <c r="AE5310" s="1"/>
    </row>
    <row r="5311" spans="18:31" ht="75" customHeight="1">
      <c r="R5311" s="1"/>
      <c r="S5311" s="1"/>
      <c r="AD5311" s="1"/>
      <c r="AE5311" s="1"/>
    </row>
    <row r="5312" spans="18:31" ht="75" customHeight="1">
      <c r="R5312" s="1"/>
      <c r="S5312" s="1"/>
      <c r="AD5312" s="1"/>
      <c r="AE5312" s="1"/>
    </row>
    <row r="5313" spans="18:31" ht="75" customHeight="1">
      <c r="R5313" s="1"/>
      <c r="S5313" s="1"/>
      <c r="AD5313" s="1"/>
      <c r="AE5313" s="1"/>
    </row>
    <row r="5314" spans="18:31" ht="75" customHeight="1">
      <c r="R5314" s="1"/>
      <c r="S5314" s="1"/>
      <c r="AD5314" s="1"/>
      <c r="AE5314" s="1"/>
    </row>
    <row r="5315" spans="18:31" ht="75" customHeight="1">
      <c r="R5315" s="1"/>
      <c r="S5315" s="1"/>
      <c r="AD5315" s="1"/>
      <c r="AE5315" s="1"/>
    </row>
    <row r="5316" spans="18:31" ht="75" customHeight="1">
      <c r="R5316" s="1"/>
      <c r="S5316" s="1"/>
      <c r="AD5316" s="1"/>
      <c r="AE5316" s="1"/>
    </row>
    <row r="5317" spans="18:31" ht="75" customHeight="1">
      <c r="R5317" s="1"/>
      <c r="S5317" s="1"/>
      <c r="AD5317" s="1"/>
      <c r="AE5317" s="1"/>
    </row>
    <row r="5318" spans="18:31" ht="75" customHeight="1">
      <c r="R5318" s="1"/>
      <c r="S5318" s="1"/>
      <c r="AD5318" s="1"/>
      <c r="AE5318" s="1"/>
    </row>
    <row r="5319" spans="18:31" ht="75" customHeight="1">
      <c r="R5319" s="1"/>
      <c r="S5319" s="1"/>
      <c r="AD5319" s="1"/>
      <c r="AE5319" s="1"/>
    </row>
    <row r="5320" spans="18:31" ht="75" customHeight="1">
      <c r="R5320" s="1"/>
      <c r="S5320" s="1"/>
      <c r="AD5320" s="1"/>
      <c r="AE5320" s="1"/>
    </row>
    <row r="5321" spans="18:31" ht="75" customHeight="1">
      <c r="R5321" s="1"/>
      <c r="S5321" s="1"/>
      <c r="AD5321" s="1"/>
      <c r="AE5321" s="1"/>
    </row>
    <row r="5322" spans="18:31" ht="75" customHeight="1">
      <c r="R5322" s="1"/>
      <c r="S5322" s="1"/>
      <c r="AD5322" s="1"/>
      <c r="AE5322" s="1"/>
    </row>
    <row r="5323" spans="18:31" ht="75" customHeight="1">
      <c r="R5323" s="1"/>
      <c r="S5323" s="1"/>
      <c r="AD5323" s="1"/>
      <c r="AE5323" s="1"/>
    </row>
    <row r="5324" spans="18:31" ht="75" customHeight="1">
      <c r="R5324" s="1"/>
      <c r="S5324" s="1"/>
      <c r="AD5324" s="1"/>
      <c r="AE5324" s="1"/>
    </row>
    <row r="5325" spans="18:31" ht="75" customHeight="1">
      <c r="R5325" s="1"/>
      <c r="S5325" s="1"/>
      <c r="AD5325" s="1"/>
      <c r="AE5325" s="1"/>
    </row>
    <row r="5326" spans="18:31" ht="75" customHeight="1">
      <c r="R5326" s="1"/>
      <c r="S5326" s="1"/>
      <c r="AD5326" s="1"/>
      <c r="AE5326" s="1"/>
    </row>
    <row r="5327" spans="18:31" ht="75" customHeight="1">
      <c r="R5327" s="1"/>
      <c r="S5327" s="1"/>
      <c r="AD5327" s="1"/>
      <c r="AE5327" s="1"/>
    </row>
    <row r="5328" spans="18:31" ht="75" customHeight="1">
      <c r="R5328" s="1"/>
      <c r="S5328" s="1"/>
      <c r="AD5328" s="1"/>
      <c r="AE5328" s="1"/>
    </row>
    <row r="5329" spans="18:31" ht="75" customHeight="1">
      <c r="R5329" s="1"/>
      <c r="S5329" s="1"/>
      <c r="AD5329" s="1"/>
      <c r="AE5329" s="1"/>
    </row>
    <row r="5330" spans="18:31" ht="75" customHeight="1">
      <c r="R5330" s="1"/>
      <c r="S5330" s="1"/>
      <c r="AD5330" s="1"/>
      <c r="AE5330" s="1"/>
    </row>
    <row r="5331" spans="18:31" ht="75" customHeight="1">
      <c r="R5331" s="1"/>
      <c r="S5331" s="1"/>
      <c r="AD5331" s="1"/>
      <c r="AE5331" s="1"/>
    </row>
    <row r="5332" spans="18:31" ht="75" customHeight="1">
      <c r="R5332" s="1"/>
      <c r="S5332" s="1"/>
      <c r="AD5332" s="1"/>
      <c r="AE5332" s="1"/>
    </row>
    <row r="5333" spans="18:31" ht="75" customHeight="1">
      <c r="R5333" s="1"/>
      <c r="S5333" s="1"/>
      <c r="AD5333" s="1"/>
      <c r="AE5333" s="1"/>
    </row>
    <row r="5334" spans="18:31" ht="75" customHeight="1">
      <c r="R5334" s="1"/>
      <c r="S5334" s="1"/>
      <c r="AD5334" s="1"/>
      <c r="AE5334" s="1"/>
    </row>
    <row r="5335" spans="18:31" ht="75" customHeight="1">
      <c r="R5335" s="1"/>
      <c r="S5335" s="1"/>
      <c r="AD5335" s="1"/>
      <c r="AE5335" s="1"/>
    </row>
    <row r="5336" spans="18:31" ht="75" customHeight="1">
      <c r="R5336" s="1"/>
      <c r="S5336" s="1"/>
      <c r="AD5336" s="1"/>
      <c r="AE5336" s="1"/>
    </row>
    <row r="5337" spans="18:31" ht="75" customHeight="1">
      <c r="R5337" s="1"/>
      <c r="S5337" s="1"/>
      <c r="AD5337" s="1"/>
      <c r="AE5337" s="1"/>
    </row>
    <row r="5338" spans="18:31" ht="75" customHeight="1">
      <c r="R5338" s="1"/>
      <c r="S5338" s="1"/>
      <c r="AD5338" s="1"/>
      <c r="AE5338" s="1"/>
    </row>
    <row r="5339" spans="18:31" ht="75" customHeight="1">
      <c r="R5339" s="1"/>
      <c r="S5339" s="1"/>
      <c r="AD5339" s="1"/>
      <c r="AE5339" s="1"/>
    </row>
    <row r="5340" spans="18:31" ht="75" customHeight="1">
      <c r="R5340" s="1"/>
      <c r="S5340" s="1"/>
      <c r="AD5340" s="1"/>
      <c r="AE5340" s="1"/>
    </row>
    <row r="5341" spans="18:31" ht="75" customHeight="1">
      <c r="R5341" s="1"/>
      <c r="S5341" s="1"/>
      <c r="AD5341" s="1"/>
      <c r="AE5341" s="1"/>
    </row>
    <row r="5342" spans="18:31" ht="75" customHeight="1">
      <c r="R5342" s="1"/>
      <c r="S5342" s="1"/>
      <c r="AD5342" s="1"/>
      <c r="AE5342" s="1"/>
    </row>
    <row r="5343" spans="18:31" ht="75" customHeight="1">
      <c r="R5343" s="1"/>
      <c r="S5343" s="1"/>
      <c r="AD5343" s="1"/>
      <c r="AE5343" s="1"/>
    </row>
    <row r="5344" spans="18:31" ht="75" customHeight="1">
      <c r="R5344" s="1"/>
      <c r="S5344" s="1"/>
      <c r="AD5344" s="1"/>
      <c r="AE5344" s="1"/>
    </row>
    <row r="5345" spans="18:31" ht="75" customHeight="1">
      <c r="R5345" s="1"/>
      <c r="S5345" s="1"/>
      <c r="AD5345" s="1"/>
      <c r="AE5345" s="1"/>
    </row>
    <row r="5346" spans="18:31" ht="75" customHeight="1">
      <c r="R5346" s="1"/>
      <c r="S5346" s="1"/>
      <c r="AD5346" s="1"/>
      <c r="AE5346" s="1"/>
    </row>
    <row r="5347" spans="18:31" ht="75" customHeight="1">
      <c r="R5347" s="1"/>
      <c r="S5347" s="1"/>
      <c r="AD5347" s="1"/>
      <c r="AE5347" s="1"/>
    </row>
    <row r="5348" spans="18:31" ht="75" customHeight="1">
      <c r="R5348" s="1"/>
      <c r="S5348" s="1"/>
      <c r="AD5348" s="1"/>
      <c r="AE5348" s="1"/>
    </row>
    <row r="5349" spans="18:31" ht="75" customHeight="1">
      <c r="R5349" s="1"/>
      <c r="S5349" s="1"/>
      <c r="AD5349" s="1"/>
      <c r="AE5349" s="1"/>
    </row>
    <row r="5350" spans="18:31" ht="75" customHeight="1">
      <c r="R5350" s="1"/>
      <c r="S5350" s="1"/>
      <c r="AD5350" s="1"/>
      <c r="AE5350" s="1"/>
    </row>
    <row r="5351" spans="18:31" ht="75" customHeight="1">
      <c r="R5351" s="1"/>
      <c r="S5351" s="1"/>
      <c r="AD5351" s="1"/>
      <c r="AE5351" s="1"/>
    </row>
    <row r="5352" spans="18:31" ht="75" customHeight="1">
      <c r="R5352" s="1"/>
      <c r="S5352" s="1"/>
      <c r="AD5352" s="1"/>
      <c r="AE5352" s="1"/>
    </row>
    <row r="5353" spans="18:31" ht="75" customHeight="1">
      <c r="R5353" s="1"/>
      <c r="S5353" s="1"/>
      <c r="AD5353" s="1"/>
      <c r="AE5353" s="1"/>
    </row>
    <row r="5354" spans="18:31" ht="75" customHeight="1">
      <c r="R5354" s="1"/>
      <c r="S5354" s="1"/>
      <c r="AD5354" s="1"/>
      <c r="AE5354" s="1"/>
    </row>
    <row r="5355" spans="18:31" ht="75" customHeight="1">
      <c r="R5355" s="1"/>
      <c r="S5355" s="1"/>
      <c r="AD5355" s="1"/>
      <c r="AE5355" s="1"/>
    </row>
    <row r="5356" spans="18:31" ht="75" customHeight="1">
      <c r="R5356" s="1"/>
      <c r="S5356" s="1"/>
      <c r="AD5356" s="1"/>
      <c r="AE5356" s="1"/>
    </row>
    <row r="5357" spans="18:31" ht="75" customHeight="1">
      <c r="R5357" s="1"/>
      <c r="S5357" s="1"/>
      <c r="AD5357" s="1"/>
      <c r="AE5357" s="1"/>
    </row>
    <row r="5358" spans="18:31" ht="75" customHeight="1">
      <c r="R5358" s="1"/>
      <c r="S5358" s="1"/>
      <c r="AD5358" s="1"/>
      <c r="AE5358" s="1"/>
    </row>
    <row r="5359" spans="18:31" ht="75" customHeight="1">
      <c r="R5359" s="1"/>
      <c r="S5359" s="1"/>
      <c r="AD5359" s="1"/>
      <c r="AE5359" s="1"/>
    </row>
    <row r="5360" spans="18:31" ht="75" customHeight="1">
      <c r="R5360" s="1"/>
      <c r="S5360" s="1"/>
      <c r="AD5360" s="1"/>
      <c r="AE5360" s="1"/>
    </row>
    <row r="5361" spans="18:31" ht="75" customHeight="1">
      <c r="R5361" s="1"/>
      <c r="S5361" s="1"/>
      <c r="AD5361" s="1"/>
      <c r="AE5361" s="1"/>
    </row>
    <row r="5362" spans="18:31" ht="75" customHeight="1">
      <c r="R5362" s="1"/>
      <c r="S5362" s="1"/>
      <c r="AD5362" s="1"/>
      <c r="AE5362" s="1"/>
    </row>
    <row r="5363" spans="18:31" ht="75" customHeight="1">
      <c r="R5363" s="1"/>
      <c r="S5363" s="1"/>
      <c r="AD5363" s="1"/>
      <c r="AE5363" s="1"/>
    </row>
    <row r="5364" spans="18:31" ht="75" customHeight="1">
      <c r="R5364" s="1"/>
      <c r="S5364" s="1"/>
      <c r="AD5364" s="1"/>
      <c r="AE5364" s="1"/>
    </row>
    <row r="5365" spans="18:31" ht="75" customHeight="1">
      <c r="R5365" s="1"/>
      <c r="S5365" s="1"/>
      <c r="AD5365" s="1"/>
      <c r="AE5365" s="1"/>
    </row>
    <row r="5366" spans="18:31" ht="75" customHeight="1">
      <c r="R5366" s="1"/>
      <c r="S5366" s="1"/>
      <c r="AD5366" s="1"/>
      <c r="AE5366" s="1"/>
    </row>
    <row r="5367" spans="18:31" ht="75" customHeight="1">
      <c r="R5367" s="1"/>
      <c r="S5367" s="1"/>
      <c r="AD5367" s="1"/>
      <c r="AE5367" s="1"/>
    </row>
    <row r="5368" spans="18:31" ht="75" customHeight="1">
      <c r="R5368" s="1"/>
      <c r="S5368" s="1"/>
      <c r="AD5368" s="1"/>
      <c r="AE5368" s="1"/>
    </row>
    <row r="5369" spans="18:31" ht="75" customHeight="1">
      <c r="R5369" s="1"/>
      <c r="S5369" s="1"/>
      <c r="AD5369" s="1"/>
      <c r="AE5369" s="1"/>
    </row>
    <row r="5370" spans="18:31" ht="75" customHeight="1">
      <c r="R5370" s="1"/>
      <c r="S5370" s="1"/>
      <c r="AD5370" s="1"/>
      <c r="AE5370" s="1"/>
    </row>
    <row r="5371" spans="18:31" ht="75" customHeight="1">
      <c r="R5371" s="1"/>
      <c r="S5371" s="1"/>
      <c r="AD5371" s="1"/>
      <c r="AE5371" s="1"/>
    </row>
    <row r="5372" spans="18:31" ht="75" customHeight="1">
      <c r="R5372" s="1"/>
      <c r="S5372" s="1"/>
      <c r="AD5372" s="1"/>
      <c r="AE5372" s="1"/>
    </row>
    <row r="5373" spans="18:31" ht="75" customHeight="1">
      <c r="R5373" s="1"/>
      <c r="S5373" s="1"/>
      <c r="AD5373" s="1"/>
      <c r="AE5373" s="1"/>
    </row>
    <row r="5374" spans="18:31" ht="75" customHeight="1">
      <c r="R5374" s="1"/>
      <c r="S5374" s="1"/>
      <c r="AD5374" s="1"/>
      <c r="AE5374" s="1"/>
    </row>
    <row r="5375" spans="18:31" ht="75" customHeight="1">
      <c r="R5375" s="1"/>
      <c r="S5375" s="1"/>
      <c r="AD5375" s="1"/>
      <c r="AE5375" s="1"/>
    </row>
    <row r="5376" spans="18:31" ht="75" customHeight="1">
      <c r="R5376" s="1"/>
      <c r="S5376" s="1"/>
      <c r="AD5376" s="1"/>
      <c r="AE5376" s="1"/>
    </row>
    <row r="5377" spans="18:31" ht="75" customHeight="1">
      <c r="R5377" s="1"/>
      <c r="S5377" s="1"/>
      <c r="AD5377" s="1"/>
      <c r="AE5377" s="1"/>
    </row>
    <row r="5378" spans="18:31" ht="75" customHeight="1">
      <c r="R5378" s="1"/>
      <c r="S5378" s="1"/>
      <c r="AD5378" s="1"/>
      <c r="AE5378" s="1"/>
    </row>
    <row r="5379" spans="18:31" ht="75" customHeight="1">
      <c r="R5379" s="1"/>
      <c r="S5379" s="1"/>
      <c r="AD5379" s="1"/>
      <c r="AE5379" s="1"/>
    </row>
    <row r="5380" spans="18:31" ht="75" customHeight="1">
      <c r="R5380" s="1"/>
      <c r="S5380" s="1"/>
      <c r="AD5380" s="1"/>
      <c r="AE5380" s="1"/>
    </row>
    <row r="5381" spans="18:31" ht="75" customHeight="1">
      <c r="R5381" s="1"/>
      <c r="S5381" s="1"/>
      <c r="AD5381" s="1"/>
      <c r="AE5381" s="1"/>
    </row>
    <row r="5382" spans="18:31" ht="75" customHeight="1">
      <c r="R5382" s="1"/>
      <c r="S5382" s="1"/>
      <c r="AD5382" s="1"/>
      <c r="AE5382" s="1"/>
    </row>
    <row r="5383" spans="18:31" ht="75" customHeight="1">
      <c r="R5383" s="1"/>
      <c r="S5383" s="1"/>
      <c r="AD5383" s="1"/>
      <c r="AE5383" s="1"/>
    </row>
    <row r="5384" spans="18:31" ht="75" customHeight="1">
      <c r="R5384" s="1"/>
      <c r="S5384" s="1"/>
      <c r="AD5384" s="1"/>
      <c r="AE5384" s="1"/>
    </row>
    <row r="5385" spans="18:31" ht="75" customHeight="1">
      <c r="R5385" s="1"/>
      <c r="S5385" s="1"/>
      <c r="AD5385" s="1"/>
      <c r="AE5385" s="1"/>
    </row>
    <row r="5386" spans="18:31" ht="75" customHeight="1">
      <c r="R5386" s="1"/>
      <c r="S5386" s="1"/>
      <c r="AD5386" s="1"/>
      <c r="AE5386" s="1"/>
    </row>
    <row r="5387" spans="18:31" ht="75" customHeight="1">
      <c r="R5387" s="1"/>
      <c r="S5387" s="1"/>
      <c r="AD5387" s="1"/>
      <c r="AE5387" s="1"/>
    </row>
    <row r="5388" spans="18:31" ht="75" customHeight="1">
      <c r="R5388" s="1"/>
      <c r="S5388" s="1"/>
      <c r="AD5388" s="1"/>
      <c r="AE5388" s="1"/>
    </row>
    <row r="5389" spans="18:31" ht="75" customHeight="1">
      <c r="R5389" s="1"/>
      <c r="S5389" s="1"/>
      <c r="AD5389" s="1"/>
      <c r="AE5389" s="1"/>
    </row>
    <row r="5390" spans="18:31" ht="75" customHeight="1">
      <c r="R5390" s="1"/>
      <c r="S5390" s="1"/>
      <c r="AD5390" s="1"/>
      <c r="AE5390" s="1"/>
    </row>
    <row r="5391" spans="18:31" ht="75" customHeight="1">
      <c r="R5391" s="1"/>
      <c r="S5391" s="1"/>
      <c r="AD5391" s="1"/>
      <c r="AE5391" s="1"/>
    </row>
    <row r="5392" spans="18:31" ht="75" customHeight="1">
      <c r="R5392" s="1"/>
      <c r="S5392" s="1"/>
      <c r="AD5392" s="1"/>
      <c r="AE5392" s="1"/>
    </row>
    <row r="5393" spans="18:31" ht="75" customHeight="1">
      <c r="R5393" s="1"/>
      <c r="S5393" s="1"/>
      <c r="AD5393" s="1"/>
      <c r="AE5393" s="1"/>
    </row>
    <row r="5394" spans="18:31" ht="75" customHeight="1">
      <c r="R5394" s="1"/>
      <c r="S5394" s="1"/>
      <c r="AD5394" s="1"/>
      <c r="AE5394" s="1"/>
    </row>
    <row r="5395" spans="18:31" ht="75" customHeight="1">
      <c r="R5395" s="1"/>
      <c r="S5395" s="1"/>
      <c r="AD5395" s="1"/>
      <c r="AE5395" s="1"/>
    </row>
    <row r="5396" spans="18:31" ht="75" customHeight="1">
      <c r="R5396" s="1"/>
      <c r="S5396" s="1"/>
      <c r="AD5396" s="1"/>
      <c r="AE5396" s="1"/>
    </row>
    <row r="5397" spans="18:31" ht="75" customHeight="1">
      <c r="R5397" s="1"/>
      <c r="S5397" s="1"/>
      <c r="AD5397" s="1"/>
      <c r="AE5397" s="1"/>
    </row>
    <row r="5398" spans="18:31" ht="75" customHeight="1">
      <c r="R5398" s="1"/>
      <c r="S5398" s="1"/>
      <c r="AD5398" s="1"/>
      <c r="AE5398" s="1"/>
    </row>
    <row r="5399" spans="18:31" ht="75" customHeight="1">
      <c r="R5399" s="1"/>
      <c r="S5399" s="1"/>
      <c r="AD5399" s="1"/>
      <c r="AE5399" s="1"/>
    </row>
    <row r="5400" spans="18:31" ht="75" customHeight="1">
      <c r="R5400" s="1"/>
      <c r="S5400" s="1"/>
      <c r="AD5400" s="1"/>
      <c r="AE5400" s="1"/>
    </row>
    <row r="5401" spans="18:31" ht="75" customHeight="1">
      <c r="R5401" s="1"/>
      <c r="S5401" s="1"/>
      <c r="AD5401" s="1"/>
      <c r="AE5401" s="1"/>
    </row>
    <row r="5402" spans="18:31" ht="75" customHeight="1">
      <c r="R5402" s="1"/>
      <c r="S5402" s="1"/>
      <c r="AD5402" s="1"/>
      <c r="AE5402" s="1"/>
    </row>
    <row r="5403" spans="18:31" ht="75" customHeight="1">
      <c r="R5403" s="1"/>
      <c r="S5403" s="1"/>
      <c r="AD5403" s="1"/>
      <c r="AE5403" s="1"/>
    </row>
    <row r="5404" spans="18:31" ht="75" customHeight="1">
      <c r="R5404" s="1"/>
      <c r="S5404" s="1"/>
      <c r="AD5404" s="1"/>
      <c r="AE5404" s="1"/>
    </row>
    <row r="5405" spans="18:31" ht="75" customHeight="1">
      <c r="R5405" s="1"/>
      <c r="S5405" s="1"/>
      <c r="AD5405" s="1"/>
      <c r="AE5405" s="1"/>
    </row>
    <row r="5406" spans="18:31" ht="75" customHeight="1">
      <c r="R5406" s="1"/>
      <c r="S5406" s="1"/>
      <c r="AD5406" s="1"/>
      <c r="AE5406" s="1"/>
    </row>
    <row r="5407" spans="18:31" ht="75" customHeight="1">
      <c r="R5407" s="1"/>
      <c r="S5407" s="1"/>
      <c r="AD5407" s="1"/>
      <c r="AE5407" s="1"/>
    </row>
    <row r="5408" spans="18:31" ht="75" customHeight="1">
      <c r="R5408" s="1"/>
      <c r="S5408" s="1"/>
      <c r="AD5408" s="1"/>
      <c r="AE5408" s="1"/>
    </row>
    <row r="5409" spans="18:31" ht="75" customHeight="1">
      <c r="R5409" s="1"/>
      <c r="S5409" s="1"/>
      <c r="AD5409" s="1"/>
      <c r="AE5409" s="1"/>
    </row>
    <row r="5410" spans="18:31" ht="75" customHeight="1">
      <c r="R5410" s="1"/>
      <c r="S5410" s="1"/>
      <c r="AD5410" s="1"/>
      <c r="AE5410" s="1"/>
    </row>
    <row r="5411" spans="18:31" ht="75" customHeight="1">
      <c r="R5411" s="1"/>
      <c r="S5411" s="1"/>
      <c r="AD5411" s="1"/>
      <c r="AE5411" s="1"/>
    </row>
    <row r="5412" spans="18:31" ht="75" customHeight="1">
      <c r="R5412" s="1"/>
      <c r="S5412" s="1"/>
      <c r="AD5412" s="1"/>
      <c r="AE5412" s="1"/>
    </row>
    <row r="5413" spans="18:31" ht="75" customHeight="1">
      <c r="R5413" s="1"/>
      <c r="S5413" s="1"/>
      <c r="AD5413" s="1"/>
      <c r="AE5413" s="1"/>
    </row>
    <row r="5414" spans="18:31" ht="75" customHeight="1">
      <c r="R5414" s="1"/>
      <c r="S5414" s="1"/>
      <c r="AD5414" s="1"/>
      <c r="AE5414" s="1"/>
    </row>
    <row r="5415" spans="18:31" ht="75" customHeight="1">
      <c r="R5415" s="1"/>
      <c r="S5415" s="1"/>
      <c r="AD5415" s="1"/>
      <c r="AE5415" s="1"/>
    </row>
    <row r="5416" spans="18:31" ht="75" customHeight="1">
      <c r="R5416" s="1"/>
      <c r="S5416" s="1"/>
      <c r="AD5416" s="1"/>
      <c r="AE5416" s="1"/>
    </row>
    <row r="5417" spans="18:31" ht="75" customHeight="1">
      <c r="R5417" s="1"/>
      <c r="S5417" s="1"/>
      <c r="AD5417" s="1"/>
      <c r="AE5417" s="1"/>
    </row>
    <row r="5418" spans="18:31" ht="75" customHeight="1">
      <c r="R5418" s="1"/>
      <c r="S5418" s="1"/>
      <c r="AD5418" s="1"/>
      <c r="AE5418" s="1"/>
    </row>
    <row r="5419" spans="18:31" ht="75" customHeight="1">
      <c r="R5419" s="1"/>
      <c r="S5419" s="1"/>
      <c r="AD5419" s="1"/>
      <c r="AE5419" s="1"/>
    </row>
    <row r="5420" spans="18:31" ht="75" customHeight="1">
      <c r="R5420" s="1"/>
      <c r="S5420" s="1"/>
      <c r="AD5420" s="1"/>
      <c r="AE5420" s="1"/>
    </row>
    <row r="5421" spans="18:31" ht="75" customHeight="1">
      <c r="R5421" s="1"/>
      <c r="S5421" s="1"/>
      <c r="AD5421" s="1"/>
      <c r="AE5421" s="1"/>
    </row>
    <row r="5422" spans="18:31" ht="75" customHeight="1">
      <c r="R5422" s="1"/>
      <c r="S5422" s="1"/>
      <c r="AD5422" s="1"/>
      <c r="AE5422" s="1"/>
    </row>
    <row r="5423" spans="18:31" ht="75" customHeight="1">
      <c r="R5423" s="1"/>
      <c r="S5423" s="1"/>
      <c r="AD5423" s="1"/>
      <c r="AE5423" s="1"/>
    </row>
    <row r="5424" spans="18:31" ht="75" customHeight="1">
      <c r="R5424" s="1"/>
      <c r="S5424" s="1"/>
      <c r="AD5424" s="1"/>
      <c r="AE5424" s="1"/>
    </row>
    <row r="5425" spans="18:31" ht="75" customHeight="1">
      <c r="R5425" s="1"/>
      <c r="S5425" s="1"/>
      <c r="AD5425" s="1"/>
      <c r="AE5425" s="1"/>
    </row>
    <row r="5426" spans="18:31" ht="75" customHeight="1">
      <c r="R5426" s="1"/>
      <c r="S5426" s="1"/>
      <c r="AD5426" s="1"/>
      <c r="AE5426" s="1"/>
    </row>
    <row r="5427" spans="18:31" ht="75" customHeight="1">
      <c r="R5427" s="1"/>
      <c r="S5427" s="1"/>
      <c r="AD5427" s="1"/>
      <c r="AE5427" s="1"/>
    </row>
    <row r="5428" spans="18:31" ht="75" customHeight="1">
      <c r="R5428" s="1"/>
      <c r="S5428" s="1"/>
      <c r="AD5428" s="1"/>
      <c r="AE5428" s="1"/>
    </row>
    <row r="5429" spans="18:31" ht="75" customHeight="1">
      <c r="R5429" s="1"/>
      <c r="S5429" s="1"/>
      <c r="AD5429" s="1"/>
      <c r="AE5429" s="1"/>
    </row>
    <row r="5430" spans="18:31" ht="75" customHeight="1">
      <c r="R5430" s="1"/>
      <c r="S5430" s="1"/>
      <c r="AD5430" s="1"/>
      <c r="AE5430" s="1"/>
    </row>
    <row r="5431" spans="18:31" ht="75" customHeight="1">
      <c r="R5431" s="1"/>
      <c r="S5431" s="1"/>
      <c r="AD5431" s="1"/>
      <c r="AE5431" s="1"/>
    </row>
    <row r="5432" spans="18:31" ht="75" customHeight="1">
      <c r="R5432" s="1"/>
      <c r="S5432" s="1"/>
      <c r="AD5432" s="1"/>
      <c r="AE5432" s="1"/>
    </row>
    <row r="5433" spans="18:31" ht="75" customHeight="1">
      <c r="R5433" s="1"/>
      <c r="S5433" s="1"/>
      <c r="AD5433" s="1"/>
      <c r="AE5433" s="1"/>
    </row>
    <row r="5434" spans="18:31" ht="75" customHeight="1">
      <c r="R5434" s="1"/>
      <c r="S5434" s="1"/>
      <c r="AD5434" s="1"/>
      <c r="AE5434" s="1"/>
    </row>
    <row r="5435" spans="18:31" ht="75" customHeight="1">
      <c r="R5435" s="1"/>
      <c r="S5435" s="1"/>
      <c r="AD5435" s="1"/>
      <c r="AE5435" s="1"/>
    </row>
    <row r="5436" spans="18:31" ht="75" customHeight="1">
      <c r="R5436" s="1"/>
      <c r="S5436" s="1"/>
      <c r="AD5436" s="1"/>
      <c r="AE5436" s="1"/>
    </row>
    <row r="5437" spans="18:31" ht="75" customHeight="1">
      <c r="R5437" s="1"/>
      <c r="S5437" s="1"/>
      <c r="AD5437" s="1"/>
      <c r="AE5437" s="1"/>
    </row>
    <row r="5438" spans="18:31" ht="75" customHeight="1">
      <c r="R5438" s="1"/>
      <c r="S5438" s="1"/>
      <c r="AD5438" s="1"/>
      <c r="AE5438" s="1"/>
    </row>
    <row r="5439" spans="18:31" ht="75" customHeight="1">
      <c r="R5439" s="1"/>
      <c r="S5439" s="1"/>
      <c r="AD5439" s="1"/>
      <c r="AE5439" s="1"/>
    </row>
    <row r="5440" spans="18:31" ht="75" customHeight="1">
      <c r="R5440" s="1"/>
      <c r="S5440" s="1"/>
      <c r="AD5440" s="1"/>
      <c r="AE5440" s="1"/>
    </row>
    <row r="5441" spans="18:31" ht="75" customHeight="1">
      <c r="R5441" s="1"/>
      <c r="S5441" s="1"/>
      <c r="AD5441" s="1"/>
      <c r="AE5441" s="1"/>
    </row>
    <row r="5442" spans="18:31" ht="75" customHeight="1">
      <c r="R5442" s="1"/>
      <c r="S5442" s="1"/>
      <c r="AD5442" s="1"/>
      <c r="AE5442" s="1"/>
    </row>
    <row r="5443" spans="18:31" ht="75" customHeight="1">
      <c r="R5443" s="1"/>
      <c r="S5443" s="1"/>
      <c r="AD5443" s="1"/>
      <c r="AE5443" s="1"/>
    </row>
    <row r="5444" spans="18:31" ht="75" customHeight="1">
      <c r="R5444" s="1"/>
      <c r="S5444" s="1"/>
      <c r="AD5444" s="1"/>
      <c r="AE5444" s="1"/>
    </row>
    <row r="5445" spans="18:31" ht="75" customHeight="1">
      <c r="R5445" s="1"/>
      <c r="S5445" s="1"/>
      <c r="AD5445" s="1"/>
      <c r="AE5445" s="1"/>
    </row>
    <row r="5446" spans="18:31" ht="75" customHeight="1">
      <c r="R5446" s="1"/>
      <c r="S5446" s="1"/>
      <c r="AD5446" s="1"/>
      <c r="AE5446" s="1"/>
    </row>
    <row r="5447" spans="18:31" ht="75" customHeight="1">
      <c r="R5447" s="1"/>
      <c r="S5447" s="1"/>
      <c r="AD5447" s="1"/>
      <c r="AE5447" s="1"/>
    </row>
    <row r="5448" spans="18:31" ht="75" customHeight="1">
      <c r="R5448" s="1"/>
      <c r="S5448" s="1"/>
      <c r="AD5448" s="1"/>
      <c r="AE5448" s="1"/>
    </row>
    <row r="5449" spans="18:31" ht="75" customHeight="1">
      <c r="R5449" s="1"/>
      <c r="S5449" s="1"/>
      <c r="AD5449" s="1"/>
      <c r="AE5449" s="1"/>
    </row>
    <row r="5450" spans="18:31" ht="75" customHeight="1">
      <c r="R5450" s="1"/>
      <c r="S5450" s="1"/>
      <c r="AD5450" s="1"/>
      <c r="AE5450" s="1"/>
    </row>
    <row r="5451" spans="18:31" ht="75" customHeight="1">
      <c r="R5451" s="1"/>
      <c r="S5451" s="1"/>
      <c r="AD5451" s="1"/>
      <c r="AE5451" s="1"/>
    </row>
    <row r="5452" spans="18:31" ht="75" customHeight="1">
      <c r="R5452" s="1"/>
      <c r="S5452" s="1"/>
      <c r="AD5452" s="1"/>
      <c r="AE5452" s="1"/>
    </row>
    <row r="5453" spans="18:31" ht="75" customHeight="1">
      <c r="R5453" s="1"/>
      <c r="S5453" s="1"/>
      <c r="AD5453" s="1"/>
      <c r="AE5453" s="1"/>
    </row>
    <row r="5454" spans="18:31" ht="75" customHeight="1">
      <c r="R5454" s="1"/>
      <c r="S5454" s="1"/>
      <c r="AD5454" s="1"/>
      <c r="AE5454" s="1"/>
    </row>
    <row r="5455" spans="18:31" ht="75" customHeight="1">
      <c r="R5455" s="1"/>
      <c r="S5455" s="1"/>
      <c r="AD5455" s="1"/>
      <c r="AE5455" s="1"/>
    </row>
    <row r="5456" spans="18:31" ht="75" customHeight="1">
      <c r="R5456" s="1"/>
      <c r="S5456" s="1"/>
      <c r="AD5456" s="1"/>
      <c r="AE5456" s="1"/>
    </row>
    <row r="5457" spans="18:31" ht="75" customHeight="1">
      <c r="R5457" s="1"/>
      <c r="S5457" s="1"/>
      <c r="AD5457" s="1"/>
      <c r="AE5457" s="1"/>
    </row>
    <row r="5458" spans="18:31" ht="75" customHeight="1">
      <c r="R5458" s="1"/>
      <c r="S5458" s="1"/>
      <c r="AD5458" s="1"/>
      <c r="AE5458" s="1"/>
    </row>
    <row r="5459" spans="18:31" ht="75" customHeight="1">
      <c r="R5459" s="1"/>
      <c r="S5459" s="1"/>
      <c r="AD5459" s="1"/>
      <c r="AE5459" s="1"/>
    </row>
    <row r="5460" spans="18:31" ht="75" customHeight="1">
      <c r="R5460" s="1"/>
      <c r="S5460" s="1"/>
      <c r="AD5460" s="1"/>
      <c r="AE5460" s="1"/>
    </row>
    <row r="5461" spans="18:31" ht="75" customHeight="1">
      <c r="R5461" s="1"/>
      <c r="S5461" s="1"/>
      <c r="AD5461" s="1"/>
      <c r="AE5461" s="1"/>
    </row>
    <row r="5462" spans="18:31" ht="75" customHeight="1">
      <c r="R5462" s="1"/>
      <c r="S5462" s="1"/>
      <c r="AD5462" s="1"/>
      <c r="AE5462" s="1"/>
    </row>
    <row r="5463" spans="18:31" ht="75" customHeight="1">
      <c r="R5463" s="1"/>
      <c r="S5463" s="1"/>
      <c r="AD5463" s="1"/>
      <c r="AE5463" s="1"/>
    </row>
    <row r="5464" spans="18:31" ht="75" customHeight="1">
      <c r="R5464" s="1"/>
      <c r="S5464" s="1"/>
      <c r="AD5464" s="1"/>
      <c r="AE5464" s="1"/>
    </row>
    <row r="5465" spans="18:31" ht="75" customHeight="1">
      <c r="R5465" s="1"/>
      <c r="S5465" s="1"/>
      <c r="AD5465" s="1"/>
      <c r="AE5465" s="1"/>
    </row>
    <row r="5466" spans="18:31" ht="75" customHeight="1">
      <c r="R5466" s="1"/>
      <c r="S5466" s="1"/>
      <c r="AD5466" s="1"/>
      <c r="AE5466" s="1"/>
    </row>
    <row r="5467" spans="18:31" ht="75" customHeight="1">
      <c r="R5467" s="1"/>
      <c r="S5467" s="1"/>
      <c r="AD5467" s="1"/>
      <c r="AE5467" s="1"/>
    </row>
    <row r="5468" spans="18:31" ht="75" customHeight="1">
      <c r="R5468" s="1"/>
      <c r="S5468" s="1"/>
      <c r="AD5468" s="1"/>
      <c r="AE5468" s="1"/>
    </row>
    <row r="5469" spans="18:31" ht="75" customHeight="1">
      <c r="R5469" s="1"/>
      <c r="S5469" s="1"/>
      <c r="AD5469" s="1"/>
      <c r="AE5469" s="1"/>
    </row>
    <row r="5470" spans="18:31" ht="75" customHeight="1">
      <c r="R5470" s="1"/>
      <c r="S5470" s="1"/>
      <c r="AD5470" s="1"/>
      <c r="AE5470" s="1"/>
    </row>
    <row r="5471" spans="18:31" ht="75" customHeight="1">
      <c r="R5471" s="1"/>
      <c r="S5471" s="1"/>
      <c r="AD5471" s="1"/>
      <c r="AE5471" s="1"/>
    </row>
    <row r="5472" spans="18:31" ht="75" customHeight="1">
      <c r="R5472" s="1"/>
      <c r="S5472" s="1"/>
      <c r="AD5472" s="1"/>
      <c r="AE5472" s="1"/>
    </row>
    <row r="5473" spans="18:31" ht="75" customHeight="1">
      <c r="R5473" s="1"/>
      <c r="S5473" s="1"/>
      <c r="AD5473" s="1"/>
      <c r="AE5473" s="1"/>
    </row>
    <row r="5474" spans="18:31" ht="75" customHeight="1">
      <c r="R5474" s="1"/>
      <c r="S5474" s="1"/>
      <c r="AD5474" s="1"/>
      <c r="AE5474" s="1"/>
    </row>
    <row r="5475" spans="18:31" ht="75" customHeight="1">
      <c r="R5475" s="1"/>
      <c r="S5475" s="1"/>
      <c r="AD5475" s="1"/>
      <c r="AE5475" s="1"/>
    </row>
    <row r="5476" spans="18:31" ht="75" customHeight="1">
      <c r="R5476" s="1"/>
      <c r="S5476" s="1"/>
      <c r="AD5476" s="1"/>
      <c r="AE5476" s="1"/>
    </row>
    <row r="5477" spans="18:31" ht="75" customHeight="1">
      <c r="R5477" s="1"/>
      <c r="S5477" s="1"/>
      <c r="AD5477" s="1"/>
      <c r="AE5477" s="1"/>
    </row>
    <row r="5478" spans="18:31" ht="75" customHeight="1">
      <c r="R5478" s="1"/>
      <c r="S5478" s="1"/>
      <c r="AD5478" s="1"/>
      <c r="AE5478" s="1"/>
    </row>
    <row r="5479" spans="18:31" ht="75" customHeight="1">
      <c r="R5479" s="1"/>
      <c r="S5479" s="1"/>
      <c r="AD5479" s="1"/>
      <c r="AE5479" s="1"/>
    </row>
    <row r="5480" spans="18:31" ht="75" customHeight="1">
      <c r="R5480" s="1"/>
      <c r="S5480" s="1"/>
      <c r="AD5480" s="1"/>
      <c r="AE5480" s="1"/>
    </row>
    <row r="5481" spans="18:31" ht="75" customHeight="1">
      <c r="R5481" s="1"/>
      <c r="S5481" s="1"/>
      <c r="AD5481" s="1"/>
      <c r="AE5481" s="1"/>
    </row>
    <row r="5482" spans="18:31" ht="75" customHeight="1">
      <c r="R5482" s="1"/>
      <c r="S5482" s="1"/>
      <c r="AD5482" s="1"/>
      <c r="AE5482" s="1"/>
    </row>
    <row r="5483" spans="18:31" ht="75" customHeight="1">
      <c r="R5483" s="1"/>
      <c r="S5483" s="1"/>
      <c r="AD5483" s="1"/>
      <c r="AE5483" s="1"/>
    </row>
    <row r="5484" spans="18:31" ht="75" customHeight="1">
      <c r="R5484" s="1"/>
      <c r="S5484" s="1"/>
      <c r="AD5484" s="1"/>
      <c r="AE5484" s="1"/>
    </row>
    <row r="5485" spans="18:31" ht="75" customHeight="1">
      <c r="R5485" s="1"/>
      <c r="S5485" s="1"/>
      <c r="AD5485" s="1"/>
      <c r="AE5485" s="1"/>
    </row>
    <row r="5486" spans="18:31" ht="75" customHeight="1">
      <c r="R5486" s="1"/>
      <c r="S5486" s="1"/>
      <c r="AD5486" s="1"/>
      <c r="AE5486" s="1"/>
    </row>
    <row r="5487" spans="18:31" ht="75" customHeight="1">
      <c r="R5487" s="1"/>
      <c r="S5487" s="1"/>
      <c r="AD5487" s="1"/>
      <c r="AE5487" s="1"/>
    </row>
    <row r="5488" spans="18:31" ht="75" customHeight="1">
      <c r="R5488" s="1"/>
      <c r="S5488" s="1"/>
      <c r="AD5488" s="1"/>
      <c r="AE5488" s="1"/>
    </row>
    <row r="5489" spans="18:31" ht="75" customHeight="1">
      <c r="R5489" s="1"/>
      <c r="S5489" s="1"/>
      <c r="AD5489" s="1"/>
      <c r="AE5489" s="1"/>
    </row>
    <row r="5490" spans="18:31" ht="75" customHeight="1">
      <c r="R5490" s="1"/>
      <c r="S5490" s="1"/>
      <c r="AD5490" s="1"/>
      <c r="AE5490" s="1"/>
    </row>
    <row r="5491" spans="18:31" ht="75" customHeight="1">
      <c r="R5491" s="1"/>
      <c r="S5491" s="1"/>
      <c r="AD5491" s="1"/>
      <c r="AE5491" s="1"/>
    </row>
    <row r="5492" spans="18:31" ht="75" customHeight="1">
      <c r="R5492" s="1"/>
      <c r="S5492" s="1"/>
      <c r="AD5492" s="1"/>
      <c r="AE5492" s="1"/>
    </row>
    <row r="5493" spans="18:31" ht="75" customHeight="1">
      <c r="R5493" s="1"/>
      <c r="S5493" s="1"/>
      <c r="AD5493" s="1"/>
      <c r="AE5493" s="1"/>
    </row>
    <row r="5494" spans="18:31" ht="75" customHeight="1">
      <c r="R5494" s="1"/>
      <c r="S5494" s="1"/>
      <c r="AD5494" s="1"/>
      <c r="AE5494" s="1"/>
    </row>
    <row r="5495" spans="18:31" ht="75" customHeight="1">
      <c r="R5495" s="1"/>
      <c r="S5495" s="1"/>
      <c r="AD5495" s="1"/>
      <c r="AE5495" s="1"/>
    </row>
    <row r="5496" spans="18:31" ht="75" customHeight="1">
      <c r="R5496" s="1"/>
      <c r="S5496" s="1"/>
      <c r="AD5496" s="1"/>
      <c r="AE5496" s="1"/>
    </row>
    <row r="5497" spans="18:31" ht="75" customHeight="1">
      <c r="R5497" s="1"/>
      <c r="S5497" s="1"/>
      <c r="AD5497" s="1"/>
      <c r="AE5497" s="1"/>
    </row>
    <row r="5498" spans="18:31" ht="75" customHeight="1">
      <c r="R5498" s="1"/>
      <c r="S5498" s="1"/>
      <c r="AD5498" s="1"/>
      <c r="AE5498" s="1"/>
    </row>
    <row r="5499" spans="18:31" ht="75" customHeight="1">
      <c r="R5499" s="1"/>
      <c r="S5499" s="1"/>
      <c r="AD5499" s="1"/>
      <c r="AE5499" s="1"/>
    </row>
    <row r="5500" spans="18:31" ht="75" customHeight="1">
      <c r="R5500" s="1"/>
      <c r="S5500" s="1"/>
      <c r="AD5500" s="1"/>
      <c r="AE5500" s="1"/>
    </row>
    <row r="5501" spans="18:31" ht="75" customHeight="1">
      <c r="R5501" s="1"/>
      <c r="S5501" s="1"/>
      <c r="AD5501" s="1"/>
      <c r="AE5501" s="1"/>
    </row>
    <row r="5502" spans="18:31" ht="75" customHeight="1">
      <c r="R5502" s="1"/>
      <c r="S5502" s="1"/>
      <c r="AD5502" s="1"/>
      <c r="AE5502" s="1"/>
    </row>
    <row r="5503" spans="18:31" ht="75" customHeight="1">
      <c r="R5503" s="1"/>
      <c r="S5503" s="1"/>
      <c r="AD5503" s="1"/>
      <c r="AE5503" s="1"/>
    </row>
    <row r="5504" spans="18:31" ht="75" customHeight="1">
      <c r="R5504" s="1"/>
      <c r="S5504" s="1"/>
      <c r="AD5504" s="1"/>
      <c r="AE5504" s="1"/>
    </row>
    <row r="5505" spans="18:31" ht="75" customHeight="1">
      <c r="R5505" s="1"/>
      <c r="S5505" s="1"/>
      <c r="AD5505" s="1"/>
      <c r="AE5505" s="1"/>
    </row>
    <row r="5506" spans="18:31" ht="75" customHeight="1">
      <c r="R5506" s="1"/>
      <c r="S5506" s="1"/>
      <c r="AD5506" s="1"/>
      <c r="AE5506" s="1"/>
    </row>
    <row r="5507" spans="18:31" ht="75" customHeight="1">
      <c r="R5507" s="1"/>
      <c r="S5507" s="1"/>
      <c r="AD5507" s="1"/>
      <c r="AE5507" s="1"/>
    </row>
    <row r="5508" spans="18:31" ht="75" customHeight="1">
      <c r="R5508" s="1"/>
      <c r="S5508" s="1"/>
      <c r="AD5508" s="1"/>
      <c r="AE5508" s="1"/>
    </row>
    <row r="5509" spans="18:31" ht="75" customHeight="1">
      <c r="R5509" s="1"/>
      <c r="S5509" s="1"/>
      <c r="AD5509" s="1"/>
      <c r="AE5509" s="1"/>
    </row>
    <row r="5510" spans="18:31" ht="75" customHeight="1">
      <c r="R5510" s="1"/>
      <c r="S5510" s="1"/>
      <c r="AD5510" s="1"/>
      <c r="AE5510" s="1"/>
    </row>
    <row r="5511" spans="18:31" ht="75" customHeight="1">
      <c r="R5511" s="1"/>
      <c r="S5511" s="1"/>
      <c r="AD5511" s="1"/>
      <c r="AE5511" s="1"/>
    </row>
    <row r="5512" spans="18:31" ht="75" customHeight="1">
      <c r="R5512" s="1"/>
      <c r="S5512" s="1"/>
      <c r="AD5512" s="1"/>
      <c r="AE5512" s="1"/>
    </row>
    <row r="5513" spans="18:31" ht="75" customHeight="1">
      <c r="R5513" s="1"/>
      <c r="S5513" s="1"/>
      <c r="AD5513" s="1"/>
      <c r="AE5513" s="1"/>
    </row>
    <row r="5514" spans="18:31" ht="75" customHeight="1">
      <c r="R5514" s="1"/>
      <c r="S5514" s="1"/>
      <c r="AD5514" s="1"/>
      <c r="AE5514" s="1"/>
    </row>
    <row r="5515" spans="18:31" ht="75" customHeight="1">
      <c r="R5515" s="1"/>
      <c r="S5515" s="1"/>
      <c r="AD5515" s="1"/>
      <c r="AE5515" s="1"/>
    </row>
    <row r="5516" spans="18:31" ht="75" customHeight="1">
      <c r="R5516" s="1"/>
      <c r="S5516" s="1"/>
      <c r="AD5516" s="1"/>
      <c r="AE5516" s="1"/>
    </row>
    <row r="5517" spans="18:31" ht="75" customHeight="1">
      <c r="R5517" s="1"/>
      <c r="S5517" s="1"/>
      <c r="AD5517" s="1"/>
      <c r="AE5517" s="1"/>
    </row>
    <row r="5518" spans="18:31" ht="75" customHeight="1">
      <c r="R5518" s="1"/>
      <c r="S5518" s="1"/>
      <c r="AD5518" s="1"/>
      <c r="AE5518" s="1"/>
    </row>
    <row r="5519" spans="18:31" ht="75" customHeight="1">
      <c r="R5519" s="1"/>
      <c r="S5519" s="1"/>
      <c r="AD5519" s="1"/>
      <c r="AE5519" s="1"/>
    </row>
    <row r="5520" spans="18:31" ht="75" customHeight="1">
      <c r="R5520" s="1"/>
      <c r="S5520" s="1"/>
      <c r="AD5520" s="1"/>
      <c r="AE5520" s="1"/>
    </row>
    <row r="5521" spans="18:31" ht="75" customHeight="1">
      <c r="R5521" s="1"/>
      <c r="S5521" s="1"/>
      <c r="AD5521" s="1"/>
      <c r="AE5521" s="1"/>
    </row>
    <row r="5522" spans="18:31" ht="75" customHeight="1">
      <c r="R5522" s="1"/>
      <c r="S5522" s="1"/>
      <c r="AD5522" s="1"/>
      <c r="AE5522" s="1"/>
    </row>
    <row r="5523" spans="18:31" ht="75" customHeight="1">
      <c r="R5523" s="1"/>
      <c r="S5523" s="1"/>
      <c r="AD5523" s="1"/>
      <c r="AE5523" s="1"/>
    </row>
    <row r="5524" spans="18:31" ht="75" customHeight="1">
      <c r="R5524" s="1"/>
      <c r="S5524" s="1"/>
      <c r="AD5524" s="1"/>
      <c r="AE5524" s="1"/>
    </row>
    <row r="5525" spans="18:31" ht="75" customHeight="1">
      <c r="R5525" s="1"/>
      <c r="S5525" s="1"/>
      <c r="AD5525" s="1"/>
      <c r="AE5525" s="1"/>
    </row>
    <row r="5526" spans="18:31" ht="75" customHeight="1">
      <c r="R5526" s="1"/>
      <c r="S5526" s="1"/>
      <c r="AD5526" s="1"/>
      <c r="AE5526" s="1"/>
    </row>
    <row r="5527" spans="18:31" ht="75" customHeight="1">
      <c r="R5527" s="1"/>
      <c r="S5527" s="1"/>
      <c r="AD5527" s="1"/>
      <c r="AE5527" s="1"/>
    </row>
    <row r="5528" spans="18:31" ht="75" customHeight="1">
      <c r="R5528" s="1"/>
      <c r="S5528" s="1"/>
      <c r="AD5528" s="1"/>
      <c r="AE5528" s="1"/>
    </row>
    <row r="5529" spans="18:31" ht="75" customHeight="1">
      <c r="R5529" s="1"/>
      <c r="S5529" s="1"/>
      <c r="AD5529" s="1"/>
      <c r="AE5529" s="1"/>
    </row>
    <row r="5530" spans="18:31" ht="75" customHeight="1">
      <c r="R5530" s="1"/>
      <c r="S5530" s="1"/>
      <c r="AD5530" s="1"/>
      <c r="AE5530" s="1"/>
    </row>
    <row r="5531" spans="18:31" ht="75" customHeight="1">
      <c r="R5531" s="1"/>
      <c r="S5531" s="1"/>
      <c r="AD5531" s="1"/>
      <c r="AE5531" s="1"/>
    </row>
    <row r="5532" spans="18:31" ht="75" customHeight="1">
      <c r="R5532" s="1"/>
      <c r="S5532" s="1"/>
      <c r="AD5532" s="1"/>
      <c r="AE5532" s="1"/>
    </row>
    <row r="5533" spans="18:31" ht="75" customHeight="1">
      <c r="R5533" s="1"/>
      <c r="S5533" s="1"/>
      <c r="AD5533" s="1"/>
      <c r="AE5533" s="1"/>
    </row>
    <row r="5534" spans="18:31" ht="75" customHeight="1">
      <c r="R5534" s="1"/>
      <c r="S5534" s="1"/>
      <c r="AD5534" s="1"/>
      <c r="AE5534" s="1"/>
    </row>
    <row r="5535" spans="18:31" ht="75" customHeight="1">
      <c r="R5535" s="1"/>
      <c r="S5535" s="1"/>
      <c r="AD5535" s="1"/>
      <c r="AE5535" s="1"/>
    </row>
    <row r="5536" spans="18:31" ht="75" customHeight="1">
      <c r="R5536" s="1"/>
      <c r="S5536" s="1"/>
      <c r="AD5536" s="1"/>
      <c r="AE5536" s="1"/>
    </row>
    <row r="5537" spans="18:31" ht="75" customHeight="1">
      <c r="R5537" s="1"/>
      <c r="S5537" s="1"/>
      <c r="AD5537" s="1"/>
      <c r="AE5537" s="1"/>
    </row>
    <row r="5538" spans="18:31" ht="75" customHeight="1">
      <c r="R5538" s="1"/>
      <c r="S5538" s="1"/>
      <c r="AD5538" s="1"/>
      <c r="AE5538" s="1"/>
    </row>
    <row r="5539" spans="18:31" ht="75" customHeight="1">
      <c r="R5539" s="1"/>
      <c r="S5539" s="1"/>
      <c r="AD5539" s="1"/>
      <c r="AE5539" s="1"/>
    </row>
    <row r="5540" spans="18:31" ht="75" customHeight="1">
      <c r="R5540" s="1"/>
      <c r="S5540" s="1"/>
      <c r="AD5540" s="1"/>
      <c r="AE5540" s="1"/>
    </row>
    <row r="5541" spans="18:31" ht="75" customHeight="1">
      <c r="R5541" s="1"/>
      <c r="S5541" s="1"/>
      <c r="AD5541" s="1"/>
      <c r="AE5541" s="1"/>
    </row>
    <row r="5542" spans="18:31" ht="75" customHeight="1">
      <c r="R5542" s="1"/>
      <c r="S5542" s="1"/>
      <c r="AD5542" s="1"/>
      <c r="AE5542" s="1"/>
    </row>
    <row r="5543" spans="18:31" ht="75" customHeight="1">
      <c r="R5543" s="1"/>
      <c r="S5543" s="1"/>
      <c r="AD5543" s="1"/>
      <c r="AE5543" s="1"/>
    </row>
    <row r="5544" spans="18:31" ht="75" customHeight="1">
      <c r="R5544" s="1"/>
      <c r="S5544" s="1"/>
      <c r="AD5544" s="1"/>
      <c r="AE5544" s="1"/>
    </row>
    <row r="5545" spans="18:31" ht="75" customHeight="1">
      <c r="R5545" s="1"/>
      <c r="S5545" s="1"/>
      <c r="AD5545" s="1"/>
      <c r="AE5545" s="1"/>
    </row>
    <row r="5546" spans="18:31" ht="75" customHeight="1">
      <c r="R5546" s="1"/>
      <c r="S5546" s="1"/>
      <c r="AD5546" s="1"/>
      <c r="AE5546" s="1"/>
    </row>
    <row r="5547" spans="18:31" ht="75" customHeight="1">
      <c r="R5547" s="1"/>
      <c r="S5547" s="1"/>
      <c r="AD5547" s="1"/>
      <c r="AE5547" s="1"/>
    </row>
    <row r="5548" spans="18:31" ht="75" customHeight="1">
      <c r="R5548" s="1"/>
      <c r="S5548" s="1"/>
      <c r="AD5548" s="1"/>
      <c r="AE5548" s="1"/>
    </row>
    <row r="5549" spans="18:31" ht="75" customHeight="1">
      <c r="R5549" s="1"/>
      <c r="S5549" s="1"/>
      <c r="AD5549" s="1"/>
      <c r="AE5549" s="1"/>
    </row>
    <row r="5550" spans="18:31" ht="75" customHeight="1">
      <c r="R5550" s="1"/>
      <c r="S5550" s="1"/>
      <c r="AD5550" s="1"/>
      <c r="AE5550" s="1"/>
    </row>
    <row r="5551" spans="18:31" ht="75" customHeight="1">
      <c r="R5551" s="1"/>
      <c r="S5551" s="1"/>
      <c r="AD5551" s="1"/>
      <c r="AE5551" s="1"/>
    </row>
    <row r="5552" spans="18:31" ht="75" customHeight="1">
      <c r="R5552" s="1"/>
      <c r="S5552" s="1"/>
      <c r="AD5552" s="1"/>
      <c r="AE5552" s="1"/>
    </row>
    <row r="5553" spans="18:31" ht="75" customHeight="1">
      <c r="R5553" s="1"/>
      <c r="S5553" s="1"/>
      <c r="AD5553" s="1"/>
      <c r="AE5553" s="1"/>
    </row>
    <row r="5554" spans="18:31" ht="75" customHeight="1">
      <c r="R5554" s="1"/>
      <c r="S5554" s="1"/>
      <c r="AD5554" s="1"/>
      <c r="AE5554" s="1"/>
    </row>
    <row r="5555" spans="18:31" ht="75" customHeight="1">
      <c r="R5555" s="1"/>
      <c r="S5555" s="1"/>
      <c r="AD5555" s="1"/>
      <c r="AE5555" s="1"/>
    </row>
    <row r="5556" spans="18:31" ht="75" customHeight="1">
      <c r="R5556" s="1"/>
      <c r="S5556" s="1"/>
      <c r="AD5556" s="1"/>
      <c r="AE5556" s="1"/>
    </row>
    <row r="5557" spans="18:31" ht="75" customHeight="1">
      <c r="R5557" s="1"/>
      <c r="S5557" s="1"/>
      <c r="AD5557" s="1"/>
      <c r="AE5557" s="1"/>
    </row>
    <row r="5558" spans="18:31" ht="75" customHeight="1">
      <c r="R5558" s="1"/>
      <c r="S5558" s="1"/>
      <c r="AD5558" s="1"/>
      <c r="AE5558" s="1"/>
    </row>
    <row r="5559" spans="18:31" ht="75" customHeight="1">
      <c r="R5559" s="1"/>
      <c r="S5559" s="1"/>
      <c r="AD5559" s="1"/>
      <c r="AE5559" s="1"/>
    </row>
    <row r="5560" spans="18:31" ht="75" customHeight="1">
      <c r="R5560" s="1"/>
      <c r="S5560" s="1"/>
      <c r="AD5560" s="1"/>
      <c r="AE5560" s="1"/>
    </row>
    <row r="5561" spans="18:31" ht="75" customHeight="1">
      <c r="R5561" s="1"/>
      <c r="S5561" s="1"/>
      <c r="AD5561" s="1"/>
      <c r="AE5561" s="1"/>
    </row>
    <row r="5562" spans="18:31" ht="75" customHeight="1">
      <c r="R5562" s="1"/>
      <c r="S5562" s="1"/>
      <c r="AD5562" s="1"/>
      <c r="AE5562" s="1"/>
    </row>
    <row r="5563" spans="18:31" ht="75" customHeight="1">
      <c r="R5563" s="1"/>
      <c r="S5563" s="1"/>
      <c r="AD5563" s="1"/>
      <c r="AE5563" s="1"/>
    </row>
    <row r="5564" spans="18:31" ht="75" customHeight="1">
      <c r="R5564" s="1"/>
      <c r="S5564" s="1"/>
      <c r="AD5564" s="1"/>
      <c r="AE5564" s="1"/>
    </row>
    <row r="5565" spans="18:31" ht="75" customHeight="1">
      <c r="R5565" s="1"/>
      <c r="S5565" s="1"/>
      <c r="AD5565" s="1"/>
      <c r="AE5565" s="1"/>
    </row>
    <row r="5566" spans="18:31" ht="75" customHeight="1">
      <c r="R5566" s="1"/>
      <c r="S5566" s="1"/>
      <c r="AD5566" s="1"/>
      <c r="AE5566" s="1"/>
    </row>
    <row r="5567" spans="18:31" ht="75" customHeight="1">
      <c r="R5567" s="1"/>
      <c r="S5567" s="1"/>
      <c r="AD5567" s="1"/>
      <c r="AE5567" s="1"/>
    </row>
    <row r="5568" spans="18:31" ht="75" customHeight="1">
      <c r="R5568" s="1"/>
      <c r="S5568" s="1"/>
      <c r="AD5568" s="1"/>
      <c r="AE5568" s="1"/>
    </row>
    <row r="5569" spans="18:31" ht="75" customHeight="1">
      <c r="R5569" s="1"/>
      <c r="S5569" s="1"/>
      <c r="AD5569" s="1"/>
      <c r="AE5569" s="1"/>
    </row>
    <row r="5570" spans="18:31" ht="75" customHeight="1">
      <c r="R5570" s="1"/>
      <c r="S5570" s="1"/>
      <c r="AD5570" s="1"/>
      <c r="AE5570" s="1"/>
    </row>
    <row r="5571" spans="18:31" ht="75" customHeight="1">
      <c r="R5571" s="1"/>
      <c r="S5571" s="1"/>
      <c r="AD5571" s="1"/>
      <c r="AE5571" s="1"/>
    </row>
    <row r="5572" spans="18:31" ht="75" customHeight="1">
      <c r="R5572" s="1"/>
      <c r="S5572" s="1"/>
      <c r="AD5572" s="1"/>
      <c r="AE5572" s="1"/>
    </row>
    <row r="5573" spans="18:31" ht="75" customHeight="1">
      <c r="R5573" s="1"/>
      <c r="S5573" s="1"/>
      <c r="AD5573" s="1"/>
      <c r="AE5573" s="1"/>
    </row>
    <row r="5574" spans="18:31" ht="75" customHeight="1">
      <c r="R5574" s="1"/>
      <c r="S5574" s="1"/>
      <c r="AD5574" s="1"/>
      <c r="AE5574" s="1"/>
    </row>
    <row r="5575" spans="18:31" ht="75" customHeight="1">
      <c r="R5575" s="1"/>
      <c r="S5575" s="1"/>
      <c r="AD5575" s="1"/>
      <c r="AE5575" s="1"/>
    </row>
    <row r="5576" spans="18:31" ht="75" customHeight="1">
      <c r="R5576" s="1"/>
      <c r="S5576" s="1"/>
      <c r="AD5576" s="1"/>
      <c r="AE5576" s="1"/>
    </row>
    <row r="5577" spans="18:31" ht="75" customHeight="1">
      <c r="R5577" s="1"/>
      <c r="S5577" s="1"/>
      <c r="AD5577" s="1"/>
      <c r="AE5577" s="1"/>
    </row>
    <row r="5578" spans="18:31" ht="75" customHeight="1">
      <c r="R5578" s="1"/>
      <c r="S5578" s="1"/>
      <c r="AD5578" s="1"/>
      <c r="AE5578" s="1"/>
    </row>
    <row r="5579" spans="18:31" ht="75" customHeight="1">
      <c r="R5579" s="1"/>
      <c r="S5579" s="1"/>
      <c r="AD5579" s="1"/>
      <c r="AE5579" s="1"/>
    </row>
    <row r="5580" spans="18:31" ht="75" customHeight="1">
      <c r="R5580" s="1"/>
      <c r="S5580" s="1"/>
      <c r="AD5580" s="1"/>
      <c r="AE5580" s="1"/>
    </row>
    <row r="5581" spans="18:31" ht="75" customHeight="1">
      <c r="R5581" s="1"/>
      <c r="S5581" s="1"/>
      <c r="AD5581" s="1"/>
      <c r="AE5581" s="1"/>
    </row>
    <row r="5582" spans="18:31" ht="75" customHeight="1">
      <c r="R5582" s="1"/>
      <c r="S5582" s="1"/>
      <c r="AD5582" s="1"/>
      <c r="AE5582" s="1"/>
    </row>
    <row r="5583" spans="18:31" ht="75" customHeight="1">
      <c r="R5583" s="1"/>
      <c r="S5583" s="1"/>
      <c r="AD5583" s="1"/>
      <c r="AE5583" s="1"/>
    </row>
    <row r="5584" spans="18:31" ht="75" customHeight="1">
      <c r="R5584" s="1"/>
      <c r="S5584" s="1"/>
      <c r="AD5584" s="1"/>
      <c r="AE5584" s="1"/>
    </row>
    <row r="5585" spans="18:31" ht="75" customHeight="1">
      <c r="R5585" s="1"/>
      <c r="S5585" s="1"/>
      <c r="AD5585" s="1"/>
      <c r="AE5585" s="1"/>
    </row>
    <row r="5586" spans="18:31" ht="75" customHeight="1">
      <c r="R5586" s="1"/>
      <c r="S5586" s="1"/>
      <c r="AD5586" s="1"/>
      <c r="AE5586" s="1"/>
    </row>
    <row r="5587" spans="18:31" ht="75" customHeight="1">
      <c r="R5587" s="1"/>
      <c r="S5587" s="1"/>
      <c r="AD5587" s="1"/>
      <c r="AE5587" s="1"/>
    </row>
    <row r="5588" spans="18:31" ht="75" customHeight="1">
      <c r="R5588" s="1"/>
      <c r="S5588" s="1"/>
      <c r="AD5588" s="1"/>
      <c r="AE5588" s="1"/>
    </row>
    <row r="5589" spans="18:31" ht="75" customHeight="1">
      <c r="R5589" s="1"/>
      <c r="S5589" s="1"/>
      <c r="AD5589" s="1"/>
      <c r="AE5589" s="1"/>
    </row>
    <row r="5590" spans="18:31" ht="75" customHeight="1">
      <c r="R5590" s="1"/>
      <c r="S5590" s="1"/>
      <c r="AD5590" s="1"/>
      <c r="AE5590" s="1"/>
    </row>
    <row r="5591" spans="18:31" ht="75" customHeight="1">
      <c r="R5591" s="1"/>
      <c r="S5591" s="1"/>
      <c r="AD5591" s="1"/>
      <c r="AE5591" s="1"/>
    </row>
    <row r="5592" spans="18:31" ht="75" customHeight="1">
      <c r="R5592" s="1"/>
      <c r="S5592" s="1"/>
      <c r="AD5592" s="1"/>
      <c r="AE5592" s="1"/>
    </row>
    <row r="5593" spans="18:31" ht="75" customHeight="1">
      <c r="R5593" s="1"/>
      <c r="S5593" s="1"/>
      <c r="AD5593" s="1"/>
      <c r="AE5593" s="1"/>
    </row>
    <row r="5594" spans="18:31" ht="75" customHeight="1">
      <c r="R5594" s="1"/>
      <c r="S5594" s="1"/>
      <c r="AD5594" s="1"/>
      <c r="AE5594" s="1"/>
    </row>
    <row r="5595" spans="18:31" ht="75" customHeight="1">
      <c r="R5595" s="1"/>
      <c r="S5595" s="1"/>
      <c r="AD5595" s="1"/>
      <c r="AE5595" s="1"/>
    </row>
    <row r="5596" spans="18:31" ht="75" customHeight="1">
      <c r="R5596" s="1"/>
      <c r="S5596" s="1"/>
      <c r="AD5596" s="1"/>
      <c r="AE5596" s="1"/>
    </row>
    <row r="5597" spans="18:31" ht="75" customHeight="1">
      <c r="R5597" s="1"/>
      <c r="S5597" s="1"/>
      <c r="AD5597" s="1"/>
      <c r="AE5597" s="1"/>
    </row>
    <row r="5598" spans="18:31" ht="75" customHeight="1">
      <c r="R5598" s="1"/>
      <c r="S5598" s="1"/>
      <c r="AD5598" s="1"/>
      <c r="AE5598" s="1"/>
    </row>
    <row r="5599" spans="18:31" ht="75" customHeight="1">
      <c r="R5599" s="1"/>
      <c r="S5599" s="1"/>
      <c r="AD5599" s="1"/>
      <c r="AE5599" s="1"/>
    </row>
    <row r="5600" spans="18:31" ht="75" customHeight="1">
      <c r="R5600" s="1"/>
      <c r="S5600" s="1"/>
      <c r="AD5600" s="1"/>
      <c r="AE5600" s="1"/>
    </row>
    <row r="5601" spans="18:31" ht="75" customHeight="1">
      <c r="R5601" s="1"/>
      <c r="S5601" s="1"/>
      <c r="AD5601" s="1"/>
      <c r="AE5601" s="1"/>
    </row>
    <row r="5602" spans="18:31" ht="75" customHeight="1">
      <c r="R5602" s="1"/>
      <c r="S5602" s="1"/>
      <c r="AD5602" s="1"/>
      <c r="AE5602" s="1"/>
    </row>
    <row r="5603" spans="18:31" ht="75" customHeight="1">
      <c r="R5603" s="1"/>
      <c r="S5603" s="1"/>
      <c r="AD5603" s="1"/>
      <c r="AE5603" s="1"/>
    </row>
    <row r="5604" spans="18:31" ht="75" customHeight="1">
      <c r="R5604" s="1"/>
      <c r="S5604" s="1"/>
      <c r="AD5604" s="1"/>
      <c r="AE5604" s="1"/>
    </row>
    <row r="5605" spans="18:31" ht="75" customHeight="1">
      <c r="R5605" s="1"/>
      <c r="S5605" s="1"/>
      <c r="AD5605" s="1"/>
      <c r="AE5605" s="1"/>
    </row>
    <row r="5606" spans="18:31" ht="75" customHeight="1">
      <c r="R5606" s="1"/>
      <c r="S5606" s="1"/>
      <c r="AD5606" s="1"/>
      <c r="AE5606" s="1"/>
    </row>
    <row r="5607" spans="18:31" ht="75" customHeight="1">
      <c r="R5607" s="1"/>
      <c r="S5607" s="1"/>
      <c r="AD5607" s="1"/>
      <c r="AE5607" s="1"/>
    </row>
    <row r="5608" spans="18:31" ht="75" customHeight="1">
      <c r="R5608" s="1"/>
      <c r="S5608" s="1"/>
      <c r="AD5608" s="1"/>
      <c r="AE5608" s="1"/>
    </row>
    <row r="5609" spans="18:31" ht="75" customHeight="1">
      <c r="R5609" s="1"/>
      <c r="S5609" s="1"/>
      <c r="AD5609" s="1"/>
      <c r="AE5609" s="1"/>
    </row>
    <row r="5610" spans="18:31" ht="75" customHeight="1">
      <c r="R5610" s="1"/>
      <c r="S5610" s="1"/>
      <c r="AD5610" s="1"/>
      <c r="AE5610" s="1"/>
    </row>
    <row r="5611" spans="18:31" ht="75" customHeight="1">
      <c r="R5611" s="1"/>
      <c r="S5611" s="1"/>
      <c r="AD5611" s="1"/>
      <c r="AE5611" s="1"/>
    </row>
    <row r="5612" spans="18:31" ht="75" customHeight="1">
      <c r="R5612" s="1"/>
      <c r="S5612" s="1"/>
      <c r="AD5612" s="1"/>
      <c r="AE5612" s="1"/>
    </row>
    <row r="5613" spans="18:31" ht="75" customHeight="1">
      <c r="R5613" s="1"/>
      <c r="S5613" s="1"/>
      <c r="AD5613" s="1"/>
      <c r="AE5613" s="1"/>
    </row>
    <row r="5614" spans="18:31" ht="75" customHeight="1">
      <c r="R5614" s="1"/>
      <c r="S5614" s="1"/>
      <c r="AD5614" s="1"/>
      <c r="AE5614" s="1"/>
    </row>
    <row r="5615" spans="18:31" ht="75" customHeight="1">
      <c r="R5615" s="1"/>
      <c r="S5615" s="1"/>
      <c r="AD5615" s="1"/>
      <c r="AE5615" s="1"/>
    </row>
    <row r="5616" spans="18:31" ht="75" customHeight="1">
      <c r="R5616" s="1"/>
      <c r="S5616" s="1"/>
      <c r="AD5616" s="1"/>
      <c r="AE5616" s="1"/>
    </row>
    <row r="5617" spans="18:31" ht="75" customHeight="1">
      <c r="R5617" s="1"/>
      <c r="S5617" s="1"/>
      <c r="AD5617" s="1"/>
      <c r="AE5617" s="1"/>
    </row>
    <row r="5618" spans="18:31" ht="75" customHeight="1">
      <c r="R5618" s="1"/>
      <c r="S5618" s="1"/>
      <c r="AD5618" s="1"/>
      <c r="AE5618" s="1"/>
    </row>
    <row r="5619" spans="18:31" ht="75" customHeight="1">
      <c r="R5619" s="1"/>
      <c r="S5619" s="1"/>
      <c r="AD5619" s="1"/>
      <c r="AE5619" s="1"/>
    </row>
    <row r="5620" spans="18:31" ht="75" customHeight="1">
      <c r="R5620" s="1"/>
      <c r="S5620" s="1"/>
      <c r="AD5620" s="1"/>
      <c r="AE5620" s="1"/>
    </row>
    <row r="5621" spans="18:31" ht="75" customHeight="1">
      <c r="R5621" s="1"/>
      <c r="S5621" s="1"/>
      <c r="AD5621" s="1"/>
      <c r="AE5621" s="1"/>
    </row>
    <row r="5622" spans="18:31" ht="75" customHeight="1">
      <c r="R5622" s="1"/>
      <c r="S5622" s="1"/>
      <c r="AD5622" s="1"/>
      <c r="AE5622" s="1"/>
    </row>
    <row r="5623" spans="18:31" ht="75" customHeight="1">
      <c r="R5623" s="1"/>
      <c r="S5623" s="1"/>
      <c r="AD5623" s="1"/>
      <c r="AE5623" s="1"/>
    </row>
    <row r="5624" spans="18:31" ht="75" customHeight="1">
      <c r="R5624" s="1"/>
      <c r="S5624" s="1"/>
      <c r="AD5624" s="1"/>
      <c r="AE5624" s="1"/>
    </row>
    <row r="5625" spans="18:31" ht="75" customHeight="1">
      <c r="R5625" s="1"/>
      <c r="S5625" s="1"/>
      <c r="AD5625" s="1"/>
      <c r="AE5625" s="1"/>
    </row>
    <row r="5626" spans="18:31" ht="75" customHeight="1">
      <c r="R5626" s="1"/>
      <c r="S5626" s="1"/>
      <c r="AD5626" s="1"/>
      <c r="AE5626" s="1"/>
    </row>
    <row r="5627" spans="18:31" ht="75" customHeight="1">
      <c r="R5627" s="1"/>
      <c r="S5627" s="1"/>
      <c r="AD5627" s="1"/>
      <c r="AE5627" s="1"/>
    </row>
    <row r="5628" spans="18:31" ht="75" customHeight="1">
      <c r="R5628" s="1"/>
      <c r="S5628" s="1"/>
      <c r="AD5628" s="1"/>
      <c r="AE5628" s="1"/>
    </row>
    <row r="5629" spans="18:31" ht="75" customHeight="1">
      <c r="R5629" s="1"/>
      <c r="S5629" s="1"/>
      <c r="AD5629" s="1"/>
      <c r="AE5629" s="1"/>
    </row>
    <row r="5630" spans="18:31" ht="75" customHeight="1">
      <c r="R5630" s="1"/>
      <c r="S5630" s="1"/>
      <c r="AD5630" s="1"/>
      <c r="AE5630" s="1"/>
    </row>
    <row r="5631" spans="18:31" ht="75" customHeight="1">
      <c r="R5631" s="1"/>
      <c r="S5631" s="1"/>
      <c r="AD5631" s="1"/>
      <c r="AE5631" s="1"/>
    </row>
    <row r="5632" spans="18:31" ht="75" customHeight="1">
      <c r="R5632" s="1"/>
      <c r="S5632" s="1"/>
      <c r="AD5632" s="1"/>
      <c r="AE5632" s="1"/>
    </row>
    <row r="5633" spans="18:31" ht="75" customHeight="1">
      <c r="R5633" s="1"/>
      <c r="S5633" s="1"/>
      <c r="AD5633" s="1"/>
      <c r="AE5633" s="1"/>
    </row>
    <row r="5634" spans="18:31" ht="75" customHeight="1">
      <c r="R5634" s="1"/>
      <c r="S5634" s="1"/>
      <c r="AD5634" s="1"/>
      <c r="AE5634" s="1"/>
    </row>
    <row r="5635" spans="18:31" ht="75" customHeight="1">
      <c r="R5635" s="1"/>
      <c r="S5635" s="1"/>
      <c r="AD5635" s="1"/>
      <c r="AE5635" s="1"/>
    </row>
    <row r="5636" spans="18:31" ht="75" customHeight="1">
      <c r="R5636" s="1"/>
      <c r="S5636" s="1"/>
      <c r="AD5636" s="1"/>
      <c r="AE5636" s="1"/>
    </row>
    <row r="5637" spans="18:31" ht="75" customHeight="1">
      <c r="R5637" s="1"/>
      <c r="S5637" s="1"/>
      <c r="AD5637" s="1"/>
      <c r="AE5637" s="1"/>
    </row>
    <row r="5638" spans="18:31" ht="75" customHeight="1">
      <c r="R5638" s="1"/>
      <c r="S5638" s="1"/>
      <c r="AD5638" s="1"/>
      <c r="AE5638" s="1"/>
    </row>
    <row r="5639" spans="18:31" ht="75" customHeight="1">
      <c r="R5639" s="1"/>
      <c r="S5639" s="1"/>
      <c r="AD5639" s="1"/>
      <c r="AE5639" s="1"/>
    </row>
    <row r="5640" spans="18:31" ht="75" customHeight="1">
      <c r="R5640" s="1"/>
      <c r="S5640" s="1"/>
      <c r="AD5640" s="1"/>
      <c r="AE5640" s="1"/>
    </row>
    <row r="5641" spans="18:31" ht="75" customHeight="1">
      <c r="R5641" s="1"/>
      <c r="S5641" s="1"/>
      <c r="AD5641" s="1"/>
      <c r="AE5641" s="1"/>
    </row>
    <row r="5642" spans="18:31" ht="75" customHeight="1">
      <c r="R5642" s="1"/>
      <c r="S5642" s="1"/>
      <c r="AD5642" s="1"/>
      <c r="AE5642" s="1"/>
    </row>
    <row r="5643" spans="18:31" ht="75" customHeight="1">
      <c r="R5643" s="1"/>
      <c r="S5643" s="1"/>
      <c r="AD5643" s="1"/>
      <c r="AE5643" s="1"/>
    </row>
    <row r="5644" spans="18:31" ht="75" customHeight="1">
      <c r="R5644" s="1"/>
      <c r="S5644" s="1"/>
      <c r="AD5644" s="1"/>
      <c r="AE5644" s="1"/>
    </row>
    <row r="5645" spans="18:31" ht="75" customHeight="1">
      <c r="R5645" s="1"/>
      <c r="S5645" s="1"/>
      <c r="AD5645" s="1"/>
      <c r="AE5645" s="1"/>
    </row>
    <row r="5646" spans="18:31" ht="75" customHeight="1">
      <c r="R5646" s="1"/>
      <c r="S5646" s="1"/>
      <c r="AD5646" s="1"/>
      <c r="AE5646" s="1"/>
    </row>
    <row r="5647" spans="18:31" ht="75" customHeight="1">
      <c r="R5647" s="1"/>
      <c r="S5647" s="1"/>
      <c r="AD5647" s="1"/>
      <c r="AE5647" s="1"/>
    </row>
    <row r="5648" spans="18:31" ht="75" customHeight="1">
      <c r="R5648" s="1"/>
      <c r="S5648" s="1"/>
      <c r="AD5648" s="1"/>
      <c r="AE5648" s="1"/>
    </row>
    <row r="5649" spans="18:31" ht="75" customHeight="1">
      <c r="R5649" s="1"/>
      <c r="S5649" s="1"/>
      <c r="AD5649" s="1"/>
      <c r="AE5649" s="1"/>
    </row>
    <row r="5650" spans="18:31" ht="75" customHeight="1">
      <c r="R5650" s="1"/>
      <c r="S5650" s="1"/>
      <c r="AD5650" s="1"/>
      <c r="AE5650" s="1"/>
    </row>
    <row r="5651" spans="18:31" ht="75" customHeight="1">
      <c r="R5651" s="1"/>
      <c r="S5651" s="1"/>
      <c r="AD5651" s="1"/>
      <c r="AE5651" s="1"/>
    </row>
    <row r="5652" spans="18:31" ht="75" customHeight="1">
      <c r="R5652" s="1"/>
      <c r="S5652" s="1"/>
      <c r="AD5652" s="1"/>
      <c r="AE5652" s="1"/>
    </row>
    <row r="5653" spans="18:31" ht="75" customHeight="1">
      <c r="R5653" s="1"/>
      <c r="S5653" s="1"/>
      <c r="AD5653" s="1"/>
      <c r="AE5653" s="1"/>
    </row>
    <row r="5654" spans="18:31" ht="75" customHeight="1">
      <c r="R5654" s="1"/>
      <c r="S5654" s="1"/>
      <c r="AD5654" s="1"/>
      <c r="AE5654" s="1"/>
    </row>
    <row r="5655" spans="18:31" ht="75" customHeight="1">
      <c r="R5655" s="1"/>
      <c r="S5655" s="1"/>
      <c r="AD5655" s="1"/>
      <c r="AE5655" s="1"/>
    </row>
    <row r="5656" spans="18:31" ht="75" customHeight="1">
      <c r="R5656" s="1"/>
      <c r="S5656" s="1"/>
      <c r="AD5656" s="1"/>
      <c r="AE5656" s="1"/>
    </row>
    <row r="5657" spans="18:31" ht="75" customHeight="1">
      <c r="R5657" s="1"/>
      <c r="S5657" s="1"/>
      <c r="AD5657" s="1"/>
      <c r="AE5657" s="1"/>
    </row>
    <row r="5658" spans="18:31" ht="75" customHeight="1">
      <c r="R5658" s="1"/>
      <c r="S5658" s="1"/>
      <c r="AD5658" s="1"/>
      <c r="AE5658" s="1"/>
    </row>
    <row r="5659" spans="18:31" ht="75" customHeight="1">
      <c r="R5659" s="1"/>
      <c r="S5659" s="1"/>
      <c r="AD5659" s="1"/>
      <c r="AE5659" s="1"/>
    </row>
    <row r="5660" spans="18:31" ht="75" customHeight="1">
      <c r="R5660" s="1"/>
      <c r="S5660" s="1"/>
      <c r="AD5660" s="1"/>
      <c r="AE5660" s="1"/>
    </row>
    <row r="5661" spans="18:31" ht="75" customHeight="1">
      <c r="R5661" s="1"/>
      <c r="S5661" s="1"/>
      <c r="AD5661" s="1"/>
      <c r="AE5661" s="1"/>
    </row>
    <row r="5662" spans="18:31" ht="75" customHeight="1">
      <c r="R5662" s="1"/>
      <c r="S5662" s="1"/>
      <c r="AD5662" s="1"/>
      <c r="AE5662" s="1"/>
    </row>
    <row r="5663" spans="18:31" ht="75" customHeight="1">
      <c r="R5663" s="1"/>
      <c r="S5663" s="1"/>
      <c r="AD5663" s="1"/>
      <c r="AE5663" s="1"/>
    </row>
    <row r="5664" spans="18:31" ht="75" customHeight="1">
      <c r="R5664" s="1"/>
      <c r="S5664" s="1"/>
      <c r="AD5664" s="1"/>
      <c r="AE5664" s="1"/>
    </row>
    <row r="5665" spans="18:31" ht="75" customHeight="1">
      <c r="R5665" s="1"/>
      <c r="S5665" s="1"/>
      <c r="AD5665" s="1"/>
      <c r="AE5665" s="1"/>
    </row>
    <row r="5666" spans="18:31" ht="75" customHeight="1">
      <c r="R5666" s="1"/>
      <c r="S5666" s="1"/>
      <c r="AD5666" s="1"/>
      <c r="AE5666" s="1"/>
    </row>
    <row r="5667" spans="18:31" ht="75" customHeight="1">
      <c r="R5667" s="1"/>
      <c r="S5667" s="1"/>
      <c r="AD5667" s="1"/>
      <c r="AE5667" s="1"/>
    </row>
    <row r="5668" spans="18:31" ht="75" customHeight="1">
      <c r="R5668" s="1"/>
      <c r="S5668" s="1"/>
      <c r="AD5668" s="1"/>
      <c r="AE5668" s="1"/>
    </row>
    <row r="5669" spans="18:31" ht="75" customHeight="1">
      <c r="R5669" s="1"/>
      <c r="S5669" s="1"/>
      <c r="AD5669" s="1"/>
      <c r="AE5669" s="1"/>
    </row>
    <row r="5670" spans="18:31" ht="75" customHeight="1">
      <c r="R5670" s="1"/>
      <c r="S5670" s="1"/>
      <c r="AD5670" s="1"/>
      <c r="AE5670" s="1"/>
    </row>
    <row r="5671" spans="18:31" ht="75" customHeight="1">
      <c r="R5671" s="1"/>
      <c r="S5671" s="1"/>
      <c r="AD5671" s="1"/>
      <c r="AE5671" s="1"/>
    </row>
    <row r="5672" spans="18:31" ht="75" customHeight="1">
      <c r="R5672" s="1"/>
      <c r="S5672" s="1"/>
      <c r="AD5672" s="1"/>
      <c r="AE5672" s="1"/>
    </row>
    <row r="5673" spans="18:31" ht="75" customHeight="1">
      <c r="R5673" s="1"/>
      <c r="S5673" s="1"/>
      <c r="AD5673" s="1"/>
      <c r="AE5673" s="1"/>
    </row>
    <row r="5674" spans="18:31" ht="75" customHeight="1">
      <c r="R5674" s="1"/>
      <c r="S5674" s="1"/>
      <c r="AD5674" s="1"/>
      <c r="AE5674" s="1"/>
    </row>
    <row r="5675" spans="18:31" ht="75" customHeight="1">
      <c r="R5675" s="1"/>
      <c r="S5675" s="1"/>
      <c r="AD5675" s="1"/>
      <c r="AE5675" s="1"/>
    </row>
    <row r="5676" spans="18:31" ht="75" customHeight="1">
      <c r="R5676" s="1"/>
      <c r="S5676" s="1"/>
      <c r="AD5676" s="1"/>
      <c r="AE5676" s="1"/>
    </row>
    <row r="5677" spans="18:31" ht="75" customHeight="1">
      <c r="R5677" s="1"/>
      <c r="S5677" s="1"/>
      <c r="AD5677" s="1"/>
      <c r="AE5677" s="1"/>
    </row>
    <row r="5678" spans="18:31" ht="75" customHeight="1">
      <c r="R5678" s="1"/>
      <c r="S5678" s="1"/>
      <c r="AD5678" s="1"/>
      <c r="AE5678" s="1"/>
    </row>
    <row r="5679" spans="18:31" ht="75" customHeight="1">
      <c r="R5679" s="1"/>
      <c r="S5679" s="1"/>
      <c r="AD5679" s="1"/>
      <c r="AE5679" s="1"/>
    </row>
    <row r="5680" spans="18:31" ht="75" customHeight="1">
      <c r="R5680" s="1"/>
      <c r="S5680" s="1"/>
      <c r="AD5680" s="1"/>
      <c r="AE5680" s="1"/>
    </row>
    <row r="5681" spans="18:31" ht="75" customHeight="1">
      <c r="R5681" s="1"/>
      <c r="S5681" s="1"/>
      <c r="AD5681" s="1"/>
      <c r="AE5681" s="1"/>
    </row>
    <row r="5682" spans="18:31" ht="75" customHeight="1">
      <c r="R5682" s="1"/>
      <c r="S5682" s="1"/>
      <c r="AD5682" s="1"/>
      <c r="AE5682" s="1"/>
    </row>
    <row r="5683" spans="18:31" ht="75" customHeight="1">
      <c r="R5683" s="1"/>
      <c r="S5683" s="1"/>
      <c r="AD5683" s="1"/>
      <c r="AE5683" s="1"/>
    </row>
    <row r="5684" spans="18:31" ht="75" customHeight="1">
      <c r="R5684" s="1"/>
      <c r="S5684" s="1"/>
      <c r="AD5684" s="1"/>
      <c r="AE5684" s="1"/>
    </row>
    <row r="5685" spans="18:31" ht="75" customHeight="1">
      <c r="R5685" s="1"/>
      <c r="S5685" s="1"/>
      <c r="AD5685" s="1"/>
      <c r="AE5685" s="1"/>
    </row>
    <row r="5686" spans="18:31" ht="75" customHeight="1">
      <c r="R5686" s="1"/>
      <c r="S5686" s="1"/>
      <c r="AD5686" s="1"/>
      <c r="AE5686" s="1"/>
    </row>
    <row r="5687" spans="18:31" ht="75" customHeight="1">
      <c r="R5687" s="1"/>
      <c r="S5687" s="1"/>
      <c r="AD5687" s="1"/>
      <c r="AE5687" s="1"/>
    </row>
    <row r="5688" spans="18:31" ht="75" customHeight="1">
      <c r="R5688" s="1"/>
      <c r="S5688" s="1"/>
      <c r="AD5688" s="1"/>
      <c r="AE5688" s="1"/>
    </row>
    <row r="5689" spans="18:31" ht="75" customHeight="1">
      <c r="R5689" s="1"/>
      <c r="S5689" s="1"/>
      <c r="AD5689" s="1"/>
      <c r="AE5689" s="1"/>
    </row>
    <row r="5690" spans="18:31" ht="75" customHeight="1">
      <c r="R5690" s="1"/>
      <c r="S5690" s="1"/>
      <c r="AD5690" s="1"/>
      <c r="AE5690" s="1"/>
    </row>
    <row r="5691" spans="18:31" ht="75" customHeight="1">
      <c r="R5691" s="1"/>
      <c r="S5691" s="1"/>
      <c r="AD5691" s="1"/>
      <c r="AE5691" s="1"/>
    </row>
    <row r="5692" spans="18:31" ht="75" customHeight="1">
      <c r="R5692" s="1"/>
      <c r="S5692" s="1"/>
      <c r="AD5692" s="1"/>
      <c r="AE5692" s="1"/>
    </row>
    <row r="5693" spans="18:31" ht="75" customHeight="1">
      <c r="R5693" s="1"/>
      <c r="S5693" s="1"/>
      <c r="AD5693" s="1"/>
      <c r="AE5693" s="1"/>
    </row>
    <row r="5694" spans="18:31" ht="75" customHeight="1">
      <c r="R5694" s="1"/>
      <c r="S5694" s="1"/>
      <c r="AD5694" s="1"/>
      <c r="AE5694" s="1"/>
    </row>
    <row r="5695" spans="18:31" ht="75" customHeight="1">
      <c r="R5695" s="1"/>
      <c r="S5695" s="1"/>
      <c r="AD5695" s="1"/>
      <c r="AE5695" s="1"/>
    </row>
    <row r="5696" spans="18:31" ht="75" customHeight="1">
      <c r="R5696" s="1"/>
      <c r="S5696" s="1"/>
      <c r="AD5696" s="1"/>
      <c r="AE5696" s="1"/>
    </row>
    <row r="5697" spans="18:31" ht="75" customHeight="1">
      <c r="R5697" s="1"/>
      <c r="S5697" s="1"/>
      <c r="AD5697" s="1"/>
      <c r="AE5697" s="1"/>
    </row>
    <row r="5698" spans="18:31" ht="75" customHeight="1">
      <c r="R5698" s="1"/>
      <c r="S5698" s="1"/>
      <c r="AD5698" s="1"/>
      <c r="AE5698" s="1"/>
    </row>
    <row r="5699" spans="18:31" ht="75" customHeight="1">
      <c r="R5699" s="1"/>
      <c r="S5699" s="1"/>
      <c r="AD5699" s="1"/>
      <c r="AE5699" s="1"/>
    </row>
    <row r="5700" spans="18:31" ht="75" customHeight="1">
      <c r="R5700" s="1"/>
      <c r="S5700" s="1"/>
      <c r="AD5700" s="1"/>
      <c r="AE5700" s="1"/>
    </row>
    <row r="5701" spans="18:31" ht="75" customHeight="1">
      <c r="R5701" s="1"/>
      <c r="S5701" s="1"/>
      <c r="AD5701" s="1"/>
      <c r="AE5701" s="1"/>
    </row>
    <row r="5702" spans="18:31" ht="75" customHeight="1">
      <c r="R5702" s="1"/>
      <c r="S5702" s="1"/>
      <c r="AD5702" s="1"/>
      <c r="AE5702" s="1"/>
    </row>
    <row r="5703" spans="18:31" ht="75" customHeight="1">
      <c r="R5703" s="1"/>
      <c r="S5703" s="1"/>
      <c r="AD5703" s="1"/>
      <c r="AE5703" s="1"/>
    </row>
    <row r="5704" spans="18:31" ht="75" customHeight="1">
      <c r="R5704" s="1"/>
      <c r="S5704" s="1"/>
      <c r="AD5704" s="1"/>
      <c r="AE5704" s="1"/>
    </row>
    <row r="5705" spans="18:31" ht="75" customHeight="1">
      <c r="R5705" s="1"/>
      <c r="S5705" s="1"/>
      <c r="AD5705" s="1"/>
      <c r="AE5705" s="1"/>
    </row>
    <row r="5706" spans="18:31" ht="75" customHeight="1">
      <c r="R5706" s="1"/>
      <c r="S5706" s="1"/>
      <c r="AD5706" s="1"/>
      <c r="AE5706" s="1"/>
    </row>
    <row r="5707" spans="18:31" ht="75" customHeight="1">
      <c r="R5707" s="1"/>
      <c r="S5707" s="1"/>
      <c r="AD5707" s="1"/>
      <c r="AE5707" s="1"/>
    </row>
    <row r="5708" spans="18:31" ht="75" customHeight="1">
      <c r="R5708" s="1"/>
      <c r="S5708" s="1"/>
      <c r="AD5708" s="1"/>
      <c r="AE5708" s="1"/>
    </row>
    <row r="5709" spans="18:31" ht="75" customHeight="1">
      <c r="R5709" s="1"/>
      <c r="S5709" s="1"/>
      <c r="AD5709" s="1"/>
      <c r="AE5709" s="1"/>
    </row>
    <row r="5710" spans="18:31" ht="75" customHeight="1">
      <c r="R5710" s="1"/>
      <c r="S5710" s="1"/>
      <c r="AD5710" s="1"/>
      <c r="AE5710" s="1"/>
    </row>
    <row r="5711" spans="18:31" ht="75" customHeight="1">
      <c r="R5711" s="1"/>
      <c r="S5711" s="1"/>
      <c r="AD5711" s="1"/>
      <c r="AE5711" s="1"/>
    </row>
    <row r="5712" spans="18:31" ht="75" customHeight="1">
      <c r="R5712" s="1"/>
      <c r="S5712" s="1"/>
      <c r="AD5712" s="1"/>
      <c r="AE5712" s="1"/>
    </row>
    <row r="5713" spans="18:31" ht="75" customHeight="1">
      <c r="R5713" s="1"/>
      <c r="S5713" s="1"/>
      <c r="AD5713" s="1"/>
      <c r="AE5713" s="1"/>
    </row>
    <row r="5714" spans="18:31" ht="75" customHeight="1">
      <c r="R5714" s="1"/>
      <c r="S5714" s="1"/>
      <c r="AD5714" s="1"/>
      <c r="AE5714" s="1"/>
    </row>
    <row r="5715" spans="18:31" ht="75" customHeight="1">
      <c r="R5715" s="1"/>
      <c r="S5715" s="1"/>
      <c r="AD5715" s="1"/>
      <c r="AE5715" s="1"/>
    </row>
    <row r="5716" spans="18:31" ht="75" customHeight="1">
      <c r="R5716" s="1"/>
      <c r="S5716" s="1"/>
      <c r="AD5716" s="1"/>
      <c r="AE5716" s="1"/>
    </row>
    <row r="5717" spans="18:31" ht="75" customHeight="1">
      <c r="R5717" s="1"/>
      <c r="S5717" s="1"/>
      <c r="AD5717" s="1"/>
      <c r="AE5717" s="1"/>
    </row>
    <row r="5718" spans="18:31" ht="75" customHeight="1">
      <c r="R5718" s="1"/>
      <c r="S5718" s="1"/>
      <c r="AD5718" s="1"/>
      <c r="AE5718" s="1"/>
    </row>
    <row r="5719" spans="18:31" ht="75" customHeight="1">
      <c r="R5719" s="1"/>
      <c r="S5719" s="1"/>
      <c r="AD5719" s="1"/>
      <c r="AE5719" s="1"/>
    </row>
    <row r="5720" spans="18:31" ht="75" customHeight="1">
      <c r="R5720" s="1"/>
      <c r="S5720" s="1"/>
      <c r="AD5720" s="1"/>
      <c r="AE5720" s="1"/>
    </row>
    <row r="5721" spans="18:31" ht="75" customHeight="1">
      <c r="R5721" s="1"/>
      <c r="S5721" s="1"/>
      <c r="AD5721" s="1"/>
      <c r="AE5721" s="1"/>
    </row>
    <row r="5722" spans="18:31" ht="75" customHeight="1">
      <c r="R5722" s="1"/>
      <c r="S5722" s="1"/>
      <c r="AD5722" s="1"/>
      <c r="AE5722" s="1"/>
    </row>
    <row r="5723" spans="18:31" ht="75" customHeight="1">
      <c r="R5723" s="1"/>
      <c r="S5723" s="1"/>
      <c r="AD5723" s="1"/>
      <c r="AE5723" s="1"/>
    </row>
    <row r="5724" spans="18:31" ht="75" customHeight="1">
      <c r="R5724" s="1"/>
      <c r="S5724" s="1"/>
      <c r="AD5724" s="1"/>
      <c r="AE5724" s="1"/>
    </row>
    <row r="5725" spans="18:31" ht="75" customHeight="1">
      <c r="R5725" s="1"/>
      <c r="S5725" s="1"/>
      <c r="AD5725" s="1"/>
      <c r="AE5725" s="1"/>
    </row>
    <row r="5726" spans="18:31" ht="75" customHeight="1">
      <c r="R5726" s="1"/>
      <c r="S5726" s="1"/>
      <c r="AD5726" s="1"/>
      <c r="AE5726" s="1"/>
    </row>
    <row r="5727" spans="18:31" ht="75" customHeight="1">
      <c r="R5727" s="1"/>
      <c r="S5727" s="1"/>
      <c r="AD5727" s="1"/>
      <c r="AE5727" s="1"/>
    </row>
    <row r="5728" spans="18:31" ht="75" customHeight="1">
      <c r="R5728" s="1"/>
      <c r="S5728" s="1"/>
      <c r="AD5728" s="1"/>
      <c r="AE5728" s="1"/>
    </row>
    <row r="5729" spans="18:31" ht="75" customHeight="1">
      <c r="R5729" s="1"/>
      <c r="S5729" s="1"/>
      <c r="AD5729" s="1"/>
      <c r="AE5729" s="1"/>
    </row>
    <row r="5730" spans="18:31" ht="75" customHeight="1">
      <c r="R5730" s="1"/>
      <c r="S5730" s="1"/>
      <c r="AD5730" s="1"/>
      <c r="AE5730" s="1"/>
    </row>
    <row r="5731" spans="18:31" ht="75" customHeight="1">
      <c r="R5731" s="1"/>
      <c r="S5731" s="1"/>
      <c r="AD5731" s="1"/>
      <c r="AE5731" s="1"/>
    </row>
    <row r="5732" spans="18:31" ht="75" customHeight="1">
      <c r="R5732" s="1"/>
      <c r="S5732" s="1"/>
      <c r="AD5732" s="1"/>
      <c r="AE5732" s="1"/>
    </row>
    <row r="5733" spans="18:31" ht="75" customHeight="1">
      <c r="R5733" s="1"/>
      <c r="S5733" s="1"/>
      <c r="AD5733" s="1"/>
      <c r="AE5733" s="1"/>
    </row>
    <row r="5734" spans="18:31" ht="75" customHeight="1">
      <c r="R5734" s="1"/>
      <c r="S5734" s="1"/>
      <c r="AD5734" s="1"/>
      <c r="AE5734" s="1"/>
    </row>
    <row r="5735" spans="18:31" ht="75" customHeight="1">
      <c r="R5735" s="1"/>
      <c r="S5735" s="1"/>
      <c r="AD5735" s="1"/>
      <c r="AE5735" s="1"/>
    </row>
    <row r="5736" spans="18:31" ht="75" customHeight="1">
      <c r="R5736" s="1"/>
      <c r="S5736" s="1"/>
      <c r="AD5736" s="1"/>
      <c r="AE5736" s="1"/>
    </row>
    <row r="5737" spans="18:31" ht="75" customHeight="1">
      <c r="R5737" s="1"/>
      <c r="S5737" s="1"/>
      <c r="AD5737" s="1"/>
      <c r="AE5737" s="1"/>
    </row>
    <row r="5738" spans="18:31" ht="75" customHeight="1">
      <c r="R5738" s="1"/>
      <c r="S5738" s="1"/>
      <c r="AD5738" s="1"/>
      <c r="AE5738" s="1"/>
    </row>
    <row r="5739" spans="18:31" ht="75" customHeight="1">
      <c r="R5739" s="1"/>
      <c r="S5739" s="1"/>
      <c r="AD5739" s="1"/>
      <c r="AE5739" s="1"/>
    </row>
    <row r="5740" spans="18:31" ht="75" customHeight="1">
      <c r="R5740" s="1"/>
      <c r="S5740" s="1"/>
      <c r="AD5740" s="1"/>
      <c r="AE5740" s="1"/>
    </row>
    <row r="5741" spans="18:31" ht="75" customHeight="1">
      <c r="R5741" s="1"/>
      <c r="S5741" s="1"/>
      <c r="AD5741" s="1"/>
      <c r="AE5741" s="1"/>
    </row>
    <row r="5742" spans="18:31" ht="75" customHeight="1">
      <c r="R5742" s="1"/>
      <c r="S5742" s="1"/>
      <c r="AD5742" s="1"/>
      <c r="AE5742" s="1"/>
    </row>
    <row r="5743" spans="18:31" ht="75" customHeight="1">
      <c r="R5743" s="1"/>
      <c r="S5743" s="1"/>
      <c r="AD5743" s="1"/>
      <c r="AE5743" s="1"/>
    </row>
    <row r="5744" spans="18:31" ht="75" customHeight="1">
      <c r="R5744" s="1"/>
      <c r="S5744" s="1"/>
      <c r="AD5744" s="1"/>
      <c r="AE5744" s="1"/>
    </row>
    <row r="5745" spans="18:31" ht="75" customHeight="1">
      <c r="R5745" s="1"/>
      <c r="S5745" s="1"/>
      <c r="AD5745" s="1"/>
      <c r="AE5745" s="1"/>
    </row>
    <row r="5746" spans="18:31" ht="75" customHeight="1">
      <c r="R5746" s="1"/>
      <c r="S5746" s="1"/>
      <c r="AD5746" s="1"/>
      <c r="AE5746" s="1"/>
    </row>
    <row r="5747" spans="18:31" ht="75" customHeight="1">
      <c r="R5747" s="1"/>
      <c r="S5747" s="1"/>
      <c r="AD5747" s="1"/>
      <c r="AE5747" s="1"/>
    </row>
    <row r="5748" spans="18:31" ht="75" customHeight="1">
      <c r="R5748" s="1"/>
      <c r="S5748" s="1"/>
      <c r="AD5748" s="1"/>
      <c r="AE5748" s="1"/>
    </row>
    <row r="5749" spans="18:31" ht="75" customHeight="1">
      <c r="R5749" s="1"/>
      <c r="S5749" s="1"/>
      <c r="AD5749" s="1"/>
      <c r="AE5749" s="1"/>
    </row>
    <row r="5750" spans="18:31" ht="75" customHeight="1">
      <c r="R5750" s="1"/>
      <c r="S5750" s="1"/>
      <c r="AD5750" s="1"/>
      <c r="AE5750" s="1"/>
    </row>
    <row r="5751" spans="18:31" ht="75" customHeight="1">
      <c r="R5751" s="1"/>
      <c r="S5751" s="1"/>
      <c r="AD5751" s="1"/>
      <c r="AE5751" s="1"/>
    </row>
    <row r="5752" spans="18:31" ht="75" customHeight="1">
      <c r="R5752" s="1"/>
      <c r="S5752" s="1"/>
      <c r="AD5752" s="1"/>
      <c r="AE5752" s="1"/>
    </row>
    <row r="5753" spans="18:31" ht="75" customHeight="1">
      <c r="R5753" s="1"/>
      <c r="S5753" s="1"/>
      <c r="AD5753" s="1"/>
      <c r="AE5753" s="1"/>
    </row>
    <row r="5754" spans="18:31" ht="75" customHeight="1">
      <c r="R5754" s="1"/>
      <c r="S5754" s="1"/>
      <c r="AD5754" s="1"/>
      <c r="AE5754" s="1"/>
    </row>
    <row r="5755" spans="18:31" ht="75" customHeight="1">
      <c r="R5755" s="1"/>
      <c r="S5755" s="1"/>
      <c r="AD5755" s="1"/>
      <c r="AE5755" s="1"/>
    </row>
    <row r="5756" spans="18:31" ht="75" customHeight="1">
      <c r="R5756" s="1"/>
      <c r="S5756" s="1"/>
      <c r="AD5756" s="1"/>
      <c r="AE5756" s="1"/>
    </row>
    <row r="5757" spans="18:31" ht="75" customHeight="1">
      <c r="R5757" s="1"/>
      <c r="S5757" s="1"/>
      <c r="AD5757" s="1"/>
      <c r="AE5757" s="1"/>
    </row>
    <row r="5758" spans="18:31" ht="75" customHeight="1">
      <c r="R5758" s="1"/>
      <c r="S5758" s="1"/>
      <c r="AD5758" s="1"/>
      <c r="AE5758" s="1"/>
    </row>
    <row r="5759" spans="18:31" ht="75" customHeight="1">
      <c r="R5759" s="1"/>
      <c r="S5759" s="1"/>
      <c r="AD5759" s="1"/>
      <c r="AE5759" s="1"/>
    </row>
    <row r="5760" spans="18:31" ht="75" customHeight="1">
      <c r="R5760" s="1"/>
      <c r="S5760" s="1"/>
      <c r="AD5760" s="1"/>
      <c r="AE5760" s="1"/>
    </row>
    <row r="5761" spans="18:31" ht="75" customHeight="1">
      <c r="R5761" s="1"/>
      <c r="S5761" s="1"/>
      <c r="AD5761" s="1"/>
      <c r="AE5761" s="1"/>
    </row>
    <row r="5762" spans="18:31" ht="75" customHeight="1">
      <c r="R5762" s="1"/>
      <c r="S5762" s="1"/>
      <c r="AD5762" s="1"/>
      <c r="AE5762" s="1"/>
    </row>
    <row r="5763" spans="18:31" ht="75" customHeight="1">
      <c r="R5763" s="1"/>
      <c r="S5763" s="1"/>
      <c r="AD5763" s="1"/>
      <c r="AE5763" s="1"/>
    </row>
    <row r="5764" spans="18:31" ht="75" customHeight="1">
      <c r="R5764" s="1"/>
      <c r="S5764" s="1"/>
      <c r="AD5764" s="1"/>
      <c r="AE5764" s="1"/>
    </row>
    <row r="5765" spans="18:31" ht="75" customHeight="1">
      <c r="R5765" s="1"/>
      <c r="S5765" s="1"/>
      <c r="AD5765" s="1"/>
      <c r="AE5765" s="1"/>
    </row>
    <row r="5766" spans="18:31" ht="75" customHeight="1">
      <c r="R5766" s="1"/>
      <c r="S5766" s="1"/>
      <c r="AD5766" s="1"/>
      <c r="AE5766" s="1"/>
    </row>
    <row r="5767" spans="18:31" ht="75" customHeight="1">
      <c r="R5767" s="1"/>
      <c r="S5767" s="1"/>
      <c r="AD5767" s="1"/>
      <c r="AE5767" s="1"/>
    </row>
    <row r="5768" spans="18:31" ht="75" customHeight="1">
      <c r="R5768" s="1"/>
      <c r="S5768" s="1"/>
      <c r="AD5768" s="1"/>
      <c r="AE5768" s="1"/>
    </row>
    <row r="5769" spans="18:31" ht="75" customHeight="1">
      <c r="R5769" s="1"/>
      <c r="S5769" s="1"/>
      <c r="AD5769" s="1"/>
      <c r="AE5769" s="1"/>
    </row>
    <row r="5770" spans="18:31" ht="75" customHeight="1">
      <c r="R5770" s="1"/>
      <c r="S5770" s="1"/>
      <c r="AD5770" s="1"/>
      <c r="AE5770" s="1"/>
    </row>
    <row r="5771" spans="18:31" ht="75" customHeight="1">
      <c r="R5771" s="1"/>
      <c r="S5771" s="1"/>
      <c r="AD5771" s="1"/>
      <c r="AE5771" s="1"/>
    </row>
    <row r="5772" spans="18:31" ht="75" customHeight="1">
      <c r="R5772" s="1"/>
      <c r="S5772" s="1"/>
      <c r="AD5772" s="1"/>
      <c r="AE5772" s="1"/>
    </row>
    <row r="5773" spans="18:31" ht="75" customHeight="1">
      <c r="R5773" s="1"/>
      <c r="S5773" s="1"/>
      <c r="AD5773" s="1"/>
      <c r="AE5773" s="1"/>
    </row>
    <row r="5774" spans="18:31" ht="75" customHeight="1">
      <c r="R5774" s="1"/>
      <c r="S5774" s="1"/>
      <c r="AD5774" s="1"/>
      <c r="AE5774" s="1"/>
    </row>
    <row r="5775" spans="18:31" ht="75" customHeight="1">
      <c r="R5775" s="1"/>
      <c r="S5775" s="1"/>
      <c r="AD5775" s="1"/>
      <c r="AE5775" s="1"/>
    </row>
    <row r="5776" spans="18:31" ht="75" customHeight="1">
      <c r="R5776" s="1"/>
      <c r="S5776" s="1"/>
      <c r="AD5776" s="1"/>
      <c r="AE5776" s="1"/>
    </row>
    <row r="5777" spans="18:31" ht="75" customHeight="1">
      <c r="R5777" s="1"/>
      <c r="S5777" s="1"/>
      <c r="AD5777" s="1"/>
      <c r="AE5777" s="1"/>
    </row>
    <row r="5778" spans="18:31" ht="75" customHeight="1">
      <c r="R5778" s="1"/>
      <c r="S5778" s="1"/>
      <c r="AD5778" s="1"/>
      <c r="AE5778" s="1"/>
    </row>
    <row r="5779" spans="18:31" ht="75" customHeight="1">
      <c r="R5779" s="1"/>
      <c r="S5779" s="1"/>
      <c r="AD5779" s="1"/>
      <c r="AE5779" s="1"/>
    </row>
    <row r="5780" spans="18:31" ht="75" customHeight="1">
      <c r="R5780" s="1"/>
      <c r="S5780" s="1"/>
      <c r="AD5780" s="1"/>
      <c r="AE5780" s="1"/>
    </row>
    <row r="5781" spans="18:31" ht="75" customHeight="1">
      <c r="R5781" s="1"/>
      <c r="S5781" s="1"/>
      <c r="AD5781" s="1"/>
      <c r="AE5781" s="1"/>
    </row>
    <row r="5782" spans="18:31" ht="75" customHeight="1">
      <c r="R5782" s="1"/>
      <c r="S5782" s="1"/>
      <c r="AD5782" s="1"/>
      <c r="AE5782" s="1"/>
    </row>
    <row r="5783" spans="18:31" ht="75" customHeight="1">
      <c r="R5783" s="1"/>
      <c r="S5783" s="1"/>
      <c r="AD5783" s="1"/>
      <c r="AE5783" s="1"/>
    </row>
    <row r="5784" spans="18:31" ht="75" customHeight="1">
      <c r="R5784" s="1"/>
      <c r="S5784" s="1"/>
      <c r="AD5784" s="1"/>
      <c r="AE5784" s="1"/>
    </row>
    <row r="5785" spans="18:31" ht="75" customHeight="1">
      <c r="R5785" s="1"/>
      <c r="S5785" s="1"/>
      <c r="AD5785" s="1"/>
      <c r="AE5785" s="1"/>
    </row>
    <row r="5786" spans="18:31" ht="75" customHeight="1">
      <c r="R5786" s="1"/>
      <c r="S5786" s="1"/>
      <c r="AD5786" s="1"/>
      <c r="AE5786" s="1"/>
    </row>
    <row r="5787" spans="18:31" ht="75" customHeight="1">
      <c r="R5787" s="1"/>
      <c r="S5787" s="1"/>
      <c r="AD5787" s="1"/>
      <c r="AE5787" s="1"/>
    </row>
    <row r="5788" spans="18:31" ht="75" customHeight="1">
      <c r="R5788" s="1"/>
      <c r="S5788" s="1"/>
      <c r="AD5788" s="1"/>
      <c r="AE5788" s="1"/>
    </row>
    <row r="5789" spans="18:31" ht="75" customHeight="1">
      <c r="R5789" s="1"/>
      <c r="S5789" s="1"/>
      <c r="AD5789" s="1"/>
      <c r="AE5789" s="1"/>
    </row>
    <row r="5790" spans="18:31" ht="75" customHeight="1">
      <c r="R5790" s="1"/>
      <c r="S5790" s="1"/>
      <c r="AD5790" s="1"/>
      <c r="AE5790" s="1"/>
    </row>
    <row r="5791" spans="18:31" ht="75" customHeight="1">
      <c r="R5791" s="1"/>
      <c r="S5791" s="1"/>
      <c r="AD5791" s="1"/>
      <c r="AE5791" s="1"/>
    </row>
    <row r="5792" spans="18:31" ht="75" customHeight="1">
      <c r="R5792" s="1"/>
      <c r="S5792" s="1"/>
      <c r="AD5792" s="1"/>
      <c r="AE5792" s="1"/>
    </row>
    <row r="5793" spans="18:31" ht="75" customHeight="1">
      <c r="R5793" s="1"/>
      <c r="S5793" s="1"/>
      <c r="AD5793" s="1"/>
      <c r="AE5793" s="1"/>
    </row>
    <row r="5794" spans="18:31" ht="75" customHeight="1">
      <c r="R5794" s="1"/>
      <c r="S5794" s="1"/>
      <c r="AD5794" s="1"/>
      <c r="AE5794" s="1"/>
    </row>
    <row r="5795" spans="18:31" ht="75" customHeight="1">
      <c r="R5795" s="1"/>
      <c r="S5795" s="1"/>
      <c r="AD5795" s="1"/>
      <c r="AE5795" s="1"/>
    </row>
    <row r="5796" spans="18:31" ht="75" customHeight="1">
      <c r="R5796" s="1"/>
      <c r="S5796" s="1"/>
      <c r="AD5796" s="1"/>
      <c r="AE5796" s="1"/>
    </row>
    <row r="5797" spans="18:31" ht="75" customHeight="1">
      <c r="R5797" s="1"/>
      <c r="S5797" s="1"/>
      <c r="AD5797" s="1"/>
      <c r="AE5797" s="1"/>
    </row>
    <row r="5798" spans="18:31" ht="75" customHeight="1">
      <c r="R5798" s="1"/>
      <c r="S5798" s="1"/>
      <c r="AD5798" s="1"/>
      <c r="AE5798" s="1"/>
    </row>
    <row r="5799" spans="18:31" ht="75" customHeight="1">
      <c r="R5799" s="1"/>
      <c r="S5799" s="1"/>
      <c r="AD5799" s="1"/>
      <c r="AE5799" s="1"/>
    </row>
    <row r="5800" spans="18:31" ht="75" customHeight="1">
      <c r="R5800" s="1"/>
      <c r="S5800" s="1"/>
      <c r="AD5800" s="1"/>
      <c r="AE5800" s="1"/>
    </row>
    <row r="5801" spans="18:31" ht="75" customHeight="1">
      <c r="R5801" s="1"/>
      <c r="S5801" s="1"/>
      <c r="AD5801" s="1"/>
      <c r="AE5801" s="1"/>
    </row>
    <row r="5802" spans="18:31" ht="75" customHeight="1">
      <c r="R5802" s="1"/>
      <c r="S5802" s="1"/>
      <c r="AD5802" s="1"/>
      <c r="AE5802" s="1"/>
    </row>
    <row r="5803" spans="18:31" ht="75" customHeight="1">
      <c r="R5803" s="1"/>
      <c r="S5803" s="1"/>
      <c r="AD5803" s="1"/>
      <c r="AE5803" s="1"/>
    </row>
    <row r="5804" spans="18:31" ht="75" customHeight="1">
      <c r="R5804" s="1"/>
      <c r="S5804" s="1"/>
      <c r="AD5804" s="1"/>
      <c r="AE5804" s="1"/>
    </row>
    <row r="5805" spans="18:31" ht="75" customHeight="1">
      <c r="R5805" s="1"/>
      <c r="S5805" s="1"/>
      <c r="AD5805" s="1"/>
      <c r="AE5805" s="1"/>
    </row>
    <row r="5806" spans="18:31" ht="75" customHeight="1">
      <c r="R5806" s="1"/>
      <c r="S5806" s="1"/>
      <c r="AD5806" s="1"/>
      <c r="AE5806" s="1"/>
    </row>
    <row r="5807" spans="18:31" ht="75" customHeight="1">
      <c r="R5807" s="1"/>
      <c r="S5807" s="1"/>
      <c r="AD5807" s="1"/>
      <c r="AE5807" s="1"/>
    </row>
    <row r="5808" spans="18:31" ht="75" customHeight="1">
      <c r="R5808" s="1"/>
      <c r="S5808" s="1"/>
      <c r="AD5808" s="1"/>
      <c r="AE5808" s="1"/>
    </row>
    <row r="5809" spans="18:31" ht="75" customHeight="1">
      <c r="R5809" s="1"/>
      <c r="S5809" s="1"/>
      <c r="AD5809" s="1"/>
      <c r="AE5809" s="1"/>
    </row>
    <row r="5810" spans="18:31" ht="75" customHeight="1">
      <c r="R5810" s="1"/>
      <c r="S5810" s="1"/>
      <c r="AD5810" s="1"/>
      <c r="AE5810" s="1"/>
    </row>
    <row r="5811" spans="18:31" ht="75" customHeight="1">
      <c r="R5811" s="1"/>
      <c r="S5811" s="1"/>
      <c r="AD5811" s="1"/>
      <c r="AE5811" s="1"/>
    </row>
    <row r="5812" spans="18:31" ht="75" customHeight="1">
      <c r="R5812" s="1"/>
      <c r="S5812" s="1"/>
      <c r="AD5812" s="1"/>
      <c r="AE5812" s="1"/>
    </row>
    <row r="5813" spans="18:31" ht="75" customHeight="1">
      <c r="R5813" s="1"/>
      <c r="S5813" s="1"/>
      <c r="AD5813" s="1"/>
      <c r="AE5813" s="1"/>
    </row>
    <row r="5814" spans="18:31" ht="75" customHeight="1">
      <c r="R5814" s="1"/>
      <c r="S5814" s="1"/>
      <c r="AD5814" s="1"/>
      <c r="AE5814" s="1"/>
    </row>
    <row r="5815" spans="18:31" ht="75" customHeight="1">
      <c r="R5815" s="1"/>
      <c r="S5815" s="1"/>
      <c r="AD5815" s="1"/>
      <c r="AE5815" s="1"/>
    </row>
    <row r="5816" spans="18:31" ht="75" customHeight="1">
      <c r="R5816" s="1"/>
      <c r="S5816" s="1"/>
      <c r="AD5816" s="1"/>
      <c r="AE5816" s="1"/>
    </row>
    <row r="5817" spans="18:31" ht="75" customHeight="1">
      <c r="R5817" s="1"/>
      <c r="S5817" s="1"/>
      <c r="AD5817" s="1"/>
      <c r="AE5817" s="1"/>
    </row>
    <row r="5818" spans="18:31" ht="75" customHeight="1">
      <c r="R5818" s="1"/>
      <c r="S5818" s="1"/>
      <c r="AD5818" s="1"/>
      <c r="AE5818" s="1"/>
    </row>
    <row r="5819" spans="18:31" ht="75" customHeight="1">
      <c r="R5819" s="1"/>
      <c r="S5819" s="1"/>
      <c r="AD5819" s="1"/>
      <c r="AE5819" s="1"/>
    </row>
    <row r="5820" spans="18:31" ht="75" customHeight="1">
      <c r="R5820" s="1"/>
      <c r="S5820" s="1"/>
      <c r="AD5820" s="1"/>
      <c r="AE5820" s="1"/>
    </row>
    <row r="5821" spans="18:31" ht="75" customHeight="1">
      <c r="R5821" s="1"/>
      <c r="S5821" s="1"/>
      <c r="AD5821" s="1"/>
      <c r="AE5821" s="1"/>
    </row>
    <row r="5822" spans="18:31" ht="75" customHeight="1">
      <c r="R5822" s="1"/>
      <c r="S5822" s="1"/>
      <c r="AD5822" s="1"/>
      <c r="AE5822" s="1"/>
    </row>
    <row r="5823" spans="18:31" ht="75" customHeight="1">
      <c r="R5823" s="1"/>
      <c r="S5823" s="1"/>
      <c r="AD5823" s="1"/>
      <c r="AE5823" s="1"/>
    </row>
    <row r="5824" spans="18:31" ht="75" customHeight="1">
      <c r="R5824" s="1"/>
      <c r="S5824" s="1"/>
      <c r="AD5824" s="1"/>
      <c r="AE5824" s="1"/>
    </row>
    <row r="5825" spans="18:31" ht="75" customHeight="1">
      <c r="R5825" s="1"/>
      <c r="S5825" s="1"/>
      <c r="AD5825" s="1"/>
      <c r="AE5825" s="1"/>
    </row>
    <row r="5826" spans="18:31" ht="75" customHeight="1">
      <c r="R5826" s="1"/>
      <c r="S5826" s="1"/>
      <c r="AD5826" s="1"/>
      <c r="AE5826" s="1"/>
    </row>
    <row r="5827" spans="18:31" ht="75" customHeight="1">
      <c r="R5827" s="1"/>
      <c r="S5827" s="1"/>
      <c r="AD5827" s="1"/>
      <c r="AE5827" s="1"/>
    </row>
    <row r="5828" spans="18:31" ht="75" customHeight="1">
      <c r="R5828" s="1"/>
      <c r="S5828" s="1"/>
      <c r="AD5828" s="1"/>
      <c r="AE5828" s="1"/>
    </row>
    <row r="5829" spans="18:31" ht="75" customHeight="1">
      <c r="R5829" s="1"/>
      <c r="S5829" s="1"/>
      <c r="AD5829" s="1"/>
      <c r="AE5829" s="1"/>
    </row>
    <row r="5830" spans="18:31" ht="75" customHeight="1">
      <c r="R5830" s="1"/>
      <c r="S5830" s="1"/>
      <c r="AD5830" s="1"/>
      <c r="AE5830" s="1"/>
    </row>
    <row r="5831" spans="18:31" ht="75" customHeight="1">
      <c r="R5831" s="1"/>
      <c r="S5831" s="1"/>
      <c r="AD5831" s="1"/>
      <c r="AE5831" s="1"/>
    </row>
    <row r="5832" spans="18:31" ht="75" customHeight="1">
      <c r="R5832" s="1"/>
      <c r="S5832" s="1"/>
      <c r="AD5832" s="1"/>
      <c r="AE5832" s="1"/>
    </row>
    <row r="5833" spans="18:31" ht="75" customHeight="1">
      <c r="R5833" s="1"/>
      <c r="S5833" s="1"/>
      <c r="AD5833" s="1"/>
      <c r="AE5833" s="1"/>
    </row>
    <row r="5834" spans="18:31" ht="75" customHeight="1">
      <c r="R5834" s="1"/>
      <c r="S5834" s="1"/>
      <c r="AD5834" s="1"/>
      <c r="AE5834" s="1"/>
    </row>
    <row r="5835" spans="18:31" ht="75" customHeight="1">
      <c r="R5835" s="1"/>
      <c r="S5835" s="1"/>
      <c r="AD5835" s="1"/>
      <c r="AE5835" s="1"/>
    </row>
    <row r="5836" spans="18:31" ht="75" customHeight="1">
      <c r="R5836" s="1"/>
      <c r="S5836" s="1"/>
      <c r="AD5836" s="1"/>
      <c r="AE5836" s="1"/>
    </row>
    <row r="5837" spans="18:31" ht="75" customHeight="1">
      <c r="R5837" s="1"/>
      <c r="S5837" s="1"/>
      <c r="AD5837" s="1"/>
      <c r="AE5837" s="1"/>
    </row>
    <row r="5838" spans="18:31" ht="75" customHeight="1">
      <c r="R5838" s="1"/>
      <c r="S5838" s="1"/>
      <c r="AD5838" s="1"/>
      <c r="AE5838" s="1"/>
    </row>
    <row r="5839" spans="18:31" ht="75" customHeight="1">
      <c r="R5839" s="1"/>
      <c r="S5839" s="1"/>
      <c r="AD5839" s="1"/>
      <c r="AE5839" s="1"/>
    </row>
    <row r="5840" spans="18:31" ht="75" customHeight="1">
      <c r="R5840" s="1"/>
      <c r="S5840" s="1"/>
      <c r="AD5840" s="1"/>
      <c r="AE5840" s="1"/>
    </row>
    <row r="5841" spans="18:31" ht="75" customHeight="1">
      <c r="R5841" s="1"/>
      <c r="S5841" s="1"/>
      <c r="AD5841" s="1"/>
      <c r="AE5841" s="1"/>
    </row>
    <row r="5842" spans="18:31" ht="75" customHeight="1">
      <c r="R5842" s="1"/>
      <c r="S5842" s="1"/>
      <c r="AD5842" s="1"/>
      <c r="AE5842" s="1"/>
    </row>
    <row r="5843" spans="18:31" ht="75" customHeight="1">
      <c r="R5843" s="1"/>
      <c r="S5843" s="1"/>
      <c r="AD5843" s="1"/>
      <c r="AE5843" s="1"/>
    </row>
    <row r="5844" spans="18:31" ht="75" customHeight="1">
      <c r="R5844" s="1"/>
      <c r="S5844" s="1"/>
      <c r="AD5844" s="1"/>
      <c r="AE5844" s="1"/>
    </row>
    <row r="5845" spans="18:31" ht="75" customHeight="1">
      <c r="R5845" s="1"/>
      <c r="S5845" s="1"/>
      <c r="AD5845" s="1"/>
      <c r="AE5845" s="1"/>
    </row>
    <row r="5846" spans="18:31" ht="75" customHeight="1">
      <c r="R5846" s="1"/>
      <c r="S5846" s="1"/>
      <c r="AD5846" s="1"/>
      <c r="AE5846" s="1"/>
    </row>
    <row r="5847" spans="18:31" ht="75" customHeight="1">
      <c r="R5847" s="1"/>
      <c r="S5847" s="1"/>
      <c r="AD5847" s="1"/>
      <c r="AE5847" s="1"/>
    </row>
    <row r="5848" spans="18:31" ht="75" customHeight="1">
      <c r="R5848" s="1"/>
      <c r="S5848" s="1"/>
      <c r="AD5848" s="1"/>
      <c r="AE5848" s="1"/>
    </row>
    <row r="5849" spans="18:31" ht="75" customHeight="1">
      <c r="R5849" s="1"/>
      <c r="S5849" s="1"/>
      <c r="AD5849" s="1"/>
      <c r="AE5849" s="1"/>
    </row>
    <row r="5850" spans="18:31" ht="75" customHeight="1">
      <c r="R5850" s="1"/>
      <c r="S5850" s="1"/>
      <c r="AD5850" s="1"/>
      <c r="AE5850" s="1"/>
    </row>
    <row r="5851" spans="18:31" ht="75" customHeight="1">
      <c r="R5851" s="1"/>
      <c r="S5851" s="1"/>
      <c r="AD5851" s="1"/>
      <c r="AE5851" s="1"/>
    </row>
    <row r="5852" spans="18:31" ht="75" customHeight="1">
      <c r="R5852" s="1"/>
      <c r="S5852" s="1"/>
      <c r="AD5852" s="1"/>
      <c r="AE5852" s="1"/>
    </row>
    <row r="5853" spans="18:31" ht="75" customHeight="1">
      <c r="R5853" s="1"/>
      <c r="S5853" s="1"/>
      <c r="AD5853" s="1"/>
      <c r="AE5853" s="1"/>
    </row>
    <row r="5854" spans="18:31" ht="75" customHeight="1">
      <c r="R5854" s="1"/>
      <c r="S5854" s="1"/>
      <c r="AD5854" s="1"/>
      <c r="AE5854" s="1"/>
    </row>
    <row r="5855" spans="18:31" ht="75" customHeight="1">
      <c r="R5855" s="1"/>
      <c r="S5855" s="1"/>
      <c r="AD5855" s="1"/>
      <c r="AE5855" s="1"/>
    </row>
    <row r="5856" spans="18:31" ht="75" customHeight="1">
      <c r="R5856" s="1"/>
      <c r="S5856" s="1"/>
      <c r="AD5856" s="1"/>
      <c r="AE5856" s="1"/>
    </row>
    <row r="5857" spans="18:31" ht="75" customHeight="1">
      <c r="R5857" s="1"/>
      <c r="S5857" s="1"/>
      <c r="AD5857" s="1"/>
      <c r="AE5857" s="1"/>
    </row>
    <row r="5858" spans="18:31" ht="75" customHeight="1">
      <c r="R5858" s="1"/>
      <c r="S5858" s="1"/>
      <c r="AD5858" s="1"/>
      <c r="AE5858" s="1"/>
    </row>
    <row r="5859" spans="18:31" ht="75" customHeight="1">
      <c r="R5859" s="1"/>
      <c r="S5859" s="1"/>
      <c r="AD5859" s="1"/>
      <c r="AE5859" s="1"/>
    </row>
    <row r="5860" spans="18:31" ht="75" customHeight="1">
      <c r="R5860" s="1"/>
      <c r="S5860" s="1"/>
      <c r="AD5860" s="1"/>
      <c r="AE5860" s="1"/>
    </row>
    <row r="5861" spans="18:31" ht="75" customHeight="1">
      <c r="R5861" s="1"/>
      <c r="S5861" s="1"/>
      <c r="AD5861" s="1"/>
      <c r="AE5861" s="1"/>
    </row>
    <row r="5862" spans="18:31" ht="75" customHeight="1">
      <c r="R5862" s="1"/>
      <c r="S5862" s="1"/>
      <c r="AD5862" s="1"/>
      <c r="AE5862" s="1"/>
    </row>
    <row r="5863" spans="18:31" ht="75" customHeight="1">
      <c r="R5863" s="1"/>
      <c r="S5863" s="1"/>
      <c r="AD5863" s="1"/>
      <c r="AE5863" s="1"/>
    </row>
    <row r="5864" spans="18:31" ht="75" customHeight="1">
      <c r="R5864" s="1"/>
      <c r="S5864" s="1"/>
      <c r="AD5864" s="1"/>
      <c r="AE5864" s="1"/>
    </row>
    <row r="5865" spans="18:31" ht="75" customHeight="1">
      <c r="R5865" s="1"/>
      <c r="S5865" s="1"/>
      <c r="AD5865" s="1"/>
      <c r="AE5865" s="1"/>
    </row>
    <row r="5866" spans="18:31" ht="75" customHeight="1">
      <c r="R5866" s="1"/>
      <c r="S5866" s="1"/>
      <c r="AD5866" s="1"/>
      <c r="AE5866" s="1"/>
    </row>
    <row r="5867" spans="18:31" ht="75" customHeight="1">
      <c r="R5867" s="1"/>
      <c r="S5867" s="1"/>
      <c r="AD5867" s="1"/>
      <c r="AE5867" s="1"/>
    </row>
    <row r="5868" spans="18:31" ht="75" customHeight="1">
      <c r="R5868" s="1"/>
      <c r="S5868" s="1"/>
      <c r="AD5868" s="1"/>
      <c r="AE5868" s="1"/>
    </row>
    <row r="5869" spans="18:31" ht="75" customHeight="1">
      <c r="R5869" s="1"/>
      <c r="S5869" s="1"/>
      <c r="AD5869" s="1"/>
      <c r="AE5869" s="1"/>
    </row>
    <row r="5870" spans="18:31" ht="75" customHeight="1">
      <c r="R5870" s="1"/>
      <c r="S5870" s="1"/>
      <c r="AD5870" s="1"/>
      <c r="AE5870" s="1"/>
    </row>
    <row r="5871" spans="18:31" ht="75" customHeight="1">
      <c r="R5871" s="1"/>
      <c r="S5871" s="1"/>
      <c r="AD5871" s="1"/>
      <c r="AE5871" s="1"/>
    </row>
    <row r="5872" spans="18:31" ht="75" customHeight="1">
      <c r="R5872" s="1"/>
      <c r="S5872" s="1"/>
      <c r="AD5872" s="1"/>
      <c r="AE5872" s="1"/>
    </row>
    <row r="5873" spans="18:31" ht="75" customHeight="1">
      <c r="R5873" s="1"/>
      <c r="S5873" s="1"/>
      <c r="AD5873" s="1"/>
      <c r="AE5873" s="1"/>
    </row>
    <row r="5874" spans="18:31" ht="75" customHeight="1">
      <c r="R5874" s="1"/>
      <c r="S5874" s="1"/>
      <c r="AD5874" s="1"/>
      <c r="AE5874" s="1"/>
    </row>
    <row r="5875" spans="18:31" ht="75" customHeight="1">
      <c r="R5875" s="1"/>
      <c r="S5875" s="1"/>
      <c r="AD5875" s="1"/>
      <c r="AE5875" s="1"/>
    </row>
    <row r="5876" spans="18:31" ht="75" customHeight="1">
      <c r="R5876" s="1"/>
      <c r="S5876" s="1"/>
      <c r="AD5876" s="1"/>
      <c r="AE5876" s="1"/>
    </row>
    <row r="5877" spans="18:31" ht="75" customHeight="1">
      <c r="R5877" s="1"/>
      <c r="S5877" s="1"/>
      <c r="AD5877" s="1"/>
      <c r="AE5877" s="1"/>
    </row>
    <row r="5878" spans="18:31" ht="75" customHeight="1">
      <c r="R5878" s="1"/>
      <c r="S5878" s="1"/>
      <c r="AD5878" s="1"/>
      <c r="AE5878" s="1"/>
    </row>
    <row r="5879" spans="18:31" ht="75" customHeight="1">
      <c r="R5879" s="1"/>
      <c r="S5879" s="1"/>
      <c r="AD5879" s="1"/>
      <c r="AE5879" s="1"/>
    </row>
    <row r="5880" spans="18:31" ht="75" customHeight="1">
      <c r="R5880" s="1"/>
      <c r="S5880" s="1"/>
      <c r="AD5880" s="1"/>
      <c r="AE5880" s="1"/>
    </row>
    <row r="5881" spans="18:31" ht="75" customHeight="1">
      <c r="R5881" s="1"/>
      <c r="S5881" s="1"/>
      <c r="AD5881" s="1"/>
      <c r="AE5881" s="1"/>
    </row>
    <row r="5882" spans="18:31" ht="75" customHeight="1">
      <c r="R5882" s="1"/>
      <c r="S5882" s="1"/>
      <c r="AD5882" s="1"/>
      <c r="AE5882" s="1"/>
    </row>
    <row r="5883" spans="18:31" ht="75" customHeight="1">
      <c r="R5883" s="1"/>
      <c r="S5883" s="1"/>
      <c r="AD5883" s="1"/>
      <c r="AE5883" s="1"/>
    </row>
    <row r="5884" spans="18:31" ht="75" customHeight="1">
      <c r="R5884" s="1"/>
      <c r="S5884" s="1"/>
      <c r="AD5884" s="1"/>
      <c r="AE5884" s="1"/>
    </row>
    <row r="5885" spans="18:31" ht="75" customHeight="1">
      <c r="R5885" s="1"/>
      <c r="S5885" s="1"/>
      <c r="AD5885" s="1"/>
      <c r="AE5885" s="1"/>
    </row>
    <row r="5886" spans="18:31" ht="75" customHeight="1">
      <c r="R5886" s="1"/>
      <c r="S5886" s="1"/>
      <c r="AD5886" s="1"/>
      <c r="AE5886" s="1"/>
    </row>
    <row r="5887" spans="18:31" ht="75" customHeight="1">
      <c r="R5887" s="1"/>
      <c r="S5887" s="1"/>
      <c r="AD5887" s="1"/>
      <c r="AE5887" s="1"/>
    </row>
    <row r="5888" spans="18:31" ht="75" customHeight="1">
      <c r="R5888" s="1"/>
      <c r="S5888" s="1"/>
      <c r="AD5888" s="1"/>
      <c r="AE5888" s="1"/>
    </row>
    <row r="5889" spans="18:31" ht="75" customHeight="1">
      <c r="R5889" s="1"/>
      <c r="S5889" s="1"/>
      <c r="AD5889" s="1"/>
      <c r="AE5889" s="1"/>
    </row>
    <row r="5890" spans="18:31" ht="75" customHeight="1">
      <c r="R5890" s="1"/>
      <c r="S5890" s="1"/>
      <c r="AD5890" s="1"/>
      <c r="AE5890" s="1"/>
    </row>
    <row r="5891" spans="18:31" ht="75" customHeight="1">
      <c r="R5891" s="1"/>
      <c r="S5891" s="1"/>
      <c r="AD5891" s="1"/>
      <c r="AE5891" s="1"/>
    </row>
    <row r="5892" spans="18:31" ht="75" customHeight="1">
      <c r="R5892" s="1"/>
      <c r="S5892" s="1"/>
      <c r="AD5892" s="1"/>
      <c r="AE5892" s="1"/>
    </row>
    <row r="5893" spans="18:31" ht="75" customHeight="1">
      <c r="R5893" s="1"/>
      <c r="S5893" s="1"/>
      <c r="AD5893" s="1"/>
      <c r="AE5893" s="1"/>
    </row>
    <row r="5894" spans="18:31" ht="75" customHeight="1">
      <c r="R5894" s="1"/>
      <c r="S5894" s="1"/>
      <c r="AD5894" s="1"/>
      <c r="AE5894" s="1"/>
    </row>
    <row r="5895" spans="18:31" ht="75" customHeight="1">
      <c r="R5895" s="1"/>
      <c r="S5895" s="1"/>
      <c r="AD5895" s="1"/>
      <c r="AE5895" s="1"/>
    </row>
    <row r="5896" spans="18:31" ht="75" customHeight="1">
      <c r="R5896" s="1"/>
      <c r="S5896" s="1"/>
      <c r="AD5896" s="1"/>
      <c r="AE5896" s="1"/>
    </row>
    <row r="5897" spans="18:31" ht="75" customHeight="1">
      <c r="R5897" s="1"/>
      <c r="S5897" s="1"/>
      <c r="AD5897" s="1"/>
      <c r="AE5897" s="1"/>
    </row>
    <row r="5898" spans="18:31" ht="75" customHeight="1">
      <c r="R5898" s="1"/>
      <c r="S5898" s="1"/>
      <c r="AD5898" s="1"/>
      <c r="AE5898" s="1"/>
    </row>
    <row r="5899" spans="18:31" ht="75" customHeight="1">
      <c r="R5899" s="1"/>
      <c r="S5899" s="1"/>
      <c r="AD5899" s="1"/>
      <c r="AE5899" s="1"/>
    </row>
    <row r="5900" spans="18:31" ht="75" customHeight="1">
      <c r="R5900" s="1"/>
      <c r="S5900" s="1"/>
      <c r="AD5900" s="1"/>
      <c r="AE5900" s="1"/>
    </row>
    <row r="5901" spans="18:31" ht="75" customHeight="1">
      <c r="R5901" s="1"/>
      <c r="S5901" s="1"/>
      <c r="AD5901" s="1"/>
      <c r="AE5901" s="1"/>
    </row>
    <row r="5902" spans="18:31" ht="75" customHeight="1">
      <c r="R5902" s="1"/>
      <c r="S5902" s="1"/>
      <c r="AD5902" s="1"/>
      <c r="AE5902" s="1"/>
    </row>
    <row r="5903" spans="18:31" ht="75" customHeight="1">
      <c r="R5903" s="1"/>
      <c r="S5903" s="1"/>
      <c r="AD5903" s="1"/>
      <c r="AE5903" s="1"/>
    </row>
    <row r="5904" spans="18:31" ht="75" customHeight="1">
      <c r="R5904" s="1"/>
      <c r="S5904" s="1"/>
      <c r="AD5904" s="1"/>
      <c r="AE5904" s="1"/>
    </row>
    <row r="5905" spans="18:31" ht="75" customHeight="1">
      <c r="R5905" s="1"/>
      <c r="S5905" s="1"/>
      <c r="AD5905" s="1"/>
      <c r="AE5905" s="1"/>
    </row>
    <row r="5906" spans="18:31" ht="75" customHeight="1">
      <c r="R5906" s="1"/>
      <c r="S5906" s="1"/>
      <c r="AD5906" s="1"/>
      <c r="AE5906" s="1"/>
    </row>
    <row r="5907" spans="18:31" ht="75" customHeight="1">
      <c r="R5907" s="1"/>
      <c r="S5907" s="1"/>
      <c r="AD5907" s="1"/>
      <c r="AE5907" s="1"/>
    </row>
    <row r="5908" spans="18:31" ht="75" customHeight="1">
      <c r="R5908" s="1"/>
      <c r="S5908" s="1"/>
      <c r="AD5908" s="1"/>
      <c r="AE5908" s="1"/>
    </row>
    <row r="5909" spans="18:31" ht="75" customHeight="1">
      <c r="R5909" s="1"/>
      <c r="S5909" s="1"/>
      <c r="AD5909" s="1"/>
      <c r="AE5909" s="1"/>
    </row>
    <row r="5910" spans="18:31" ht="75" customHeight="1">
      <c r="R5910" s="1"/>
      <c r="S5910" s="1"/>
      <c r="AD5910" s="1"/>
      <c r="AE5910" s="1"/>
    </row>
    <row r="5911" spans="18:31" ht="75" customHeight="1">
      <c r="R5911" s="1"/>
      <c r="S5911" s="1"/>
      <c r="AD5911" s="1"/>
      <c r="AE5911" s="1"/>
    </row>
    <row r="5912" spans="18:31" ht="75" customHeight="1">
      <c r="R5912" s="1"/>
      <c r="S5912" s="1"/>
      <c r="AD5912" s="1"/>
      <c r="AE5912" s="1"/>
    </row>
    <row r="5913" spans="18:31" ht="75" customHeight="1">
      <c r="R5913" s="1"/>
      <c r="S5913" s="1"/>
      <c r="AD5913" s="1"/>
      <c r="AE5913" s="1"/>
    </row>
    <row r="5914" spans="18:31" ht="75" customHeight="1">
      <c r="R5914" s="1"/>
      <c r="S5914" s="1"/>
      <c r="AD5914" s="1"/>
      <c r="AE5914" s="1"/>
    </row>
    <row r="5915" spans="18:31" ht="75" customHeight="1">
      <c r="R5915" s="1"/>
      <c r="S5915" s="1"/>
      <c r="AD5915" s="1"/>
      <c r="AE5915" s="1"/>
    </row>
    <row r="5916" spans="18:31" ht="75" customHeight="1">
      <c r="R5916" s="1"/>
      <c r="S5916" s="1"/>
      <c r="AD5916" s="1"/>
      <c r="AE5916" s="1"/>
    </row>
    <row r="5917" spans="18:31" ht="75" customHeight="1">
      <c r="R5917" s="1"/>
      <c r="S5917" s="1"/>
      <c r="AD5917" s="1"/>
      <c r="AE5917" s="1"/>
    </row>
    <row r="5918" spans="18:31" ht="75" customHeight="1">
      <c r="R5918" s="1"/>
      <c r="S5918" s="1"/>
      <c r="AD5918" s="1"/>
      <c r="AE5918" s="1"/>
    </row>
    <row r="5919" spans="18:31" ht="75" customHeight="1">
      <c r="R5919" s="1"/>
      <c r="S5919" s="1"/>
      <c r="AD5919" s="1"/>
      <c r="AE5919" s="1"/>
    </row>
    <row r="5920" spans="18:31" ht="75" customHeight="1">
      <c r="R5920" s="1"/>
      <c r="S5920" s="1"/>
      <c r="AD5920" s="1"/>
      <c r="AE5920" s="1"/>
    </row>
    <row r="5921" spans="18:31" ht="75" customHeight="1">
      <c r="R5921" s="1"/>
      <c r="S5921" s="1"/>
      <c r="AD5921" s="1"/>
      <c r="AE5921" s="1"/>
    </row>
    <row r="5922" spans="18:31" ht="75" customHeight="1">
      <c r="R5922" s="1"/>
      <c r="S5922" s="1"/>
      <c r="AD5922" s="1"/>
      <c r="AE5922" s="1"/>
    </row>
    <row r="5923" spans="18:31" ht="75" customHeight="1">
      <c r="R5923" s="1"/>
      <c r="S5923" s="1"/>
      <c r="AD5923" s="1"/>
      <c r="AE5923" s="1"/>
    </row>
    <row r="5924" spans="18:31" ht="75" customHeight="1">
      <c r="R5924" s="1"/>
      <c r="S5924" s="1"/>
      <c r="AD5924" s="1"/>
      <c r="AE5924" s="1"/>
    </row>
    <row r="5925" spans="18:31" ht="75" customHeight="1">
      <c r="R5925" s="1"/>
      <c r="S5925" s="1"/>
      <c r="AD5925" s="1"/>
      <c r="AE5925" s="1"/>
    </row>
    <row r="5926" spans="18:31" ht="75" customHeight="1">
      <c r="R5926" s="1"/>
      <c r="S5926" s="1"/>
      <c r="AD5926" s="1"/>
      <c r="AE5926" s="1"/>
    </row>
    <row r="5927" spans="18:31" ht="75" customHeight="1">
      <c r="R5927" s="1"/>
      <c r="S5927" s="1"/>
      <c r="AD5927" s="1"/>
      <c r="AE5927" s="1"/>
    </row>
    <row r="5928" spans="18:31" ht="75" customHeight="1">
      <c r="R5928" s="1"/>
      <c r="S5928" s="1"/>
      <c r="AD5928" s="1"/>
      <c r="AE5928" s="1"/>
    </row>
    <row r="5929" spans="18:31" ht="75" customHeight="1">
      <c r="R5929" s="1"/>
      <c r="S5929" s="1"/>
      <c r="AD5929" s="1"/>
      <c r="AE5929" s="1"/>
    </row>
    <row r="5930" spans="18:31" ht="75" customHeight="1">
      <c r="R5930" s="1"/>
      <c r="S5930" s="1"/>
      <c r="AD5930" s="1"/>
      <c r="AE5930" s="1"/>
    </row>
    <row r="5931" spans="18:31" ht="75" customHeight="1">
      <c r="R5931" s="1"/>
      <c r="S5931" s="1"/>
      <c r="AD5931" s="1"/>
      <c r="AE5931" s="1"/>
    </row>
    <row r="5932" spans="18:31" ht="75" customHeight="1">
      <c r="R5932" s="1"/>
      <c r="S5932" s="1"/>
      <c r="AD5932" s="1"/>
      <c r="AE5932" s="1"/>
    </row>
    <row r="5933" spans="18:31" ht="75" customHeight="1">
      <c r="R5933" s="1"/>
      <c r="S5933" s="1"/>
      <c r="AD5933" s="1"/>
      <c r="AE5933" s="1"/>
    </row>
    <row r="5934" spans="18:31" ht="75" customHeight="1">
      <c r="R5934" s="1"/>
      <c r="S5934" s="1"/>
      <c r="AD5934" s="1"/>
      <c r="AE5934" s="1"/>
    </row>
    <row r="5935" spans="18:31" ht="75" customHeight="1">
      <c r="R5935" s="1"/>
      <c r="S5935" s="1"/>
      <c r="AD5935" s="1"/>
      <c r="AE5935" s="1"/>
    </row>
    <row r="5936" spans="18:31" ht="75" customHeight="1">
      <c r="R5936" s="1"/>
      <c r="S5936" s="1"/>
      <c r="AD5936" s="1"/>
      <c r="AE5936" s="1"/>
    </row>
    <row r="5937" spans="18:31" ht="75" customHeight="1">
      <c r="R5937" s="1"/>
      <c r="S5937" s="1"/>
      <c r="AD5937" s="1"/>
      <c r="AE5937" s="1"/>
    </row>
    <row r="5938" spans="18:31" ht="75" customHeight="1">
      <c r="R5938" s="1"/>
      <c r="S5938" s="1"/>
      <c r="AD5938" s="1"/>
      <c r="AE5938" s="1"/>
    </row>
    <row r="5939" spans="18:31" ht="75" customHeight="1">
      <c r="R5939" s="1"/>
      <c r="S5939" s="1"/>
      <c r="AD5939" s="1"/>
      <c r="AE5939" s="1"/>
    </row>
    <row r="5940" spans="18:31" ht="75" customHeight="1">
      <c r="R5940" s="1"/>
      <c r="S5940" s="1"/>
      <c r="AD5940" s="1"/>
      <c r="AE5940" s="1"/>
    </row>
    <row r="5941" spans="18:31" ht="75" customHeight="1">
      <c r="R5941" s="1"/>
      <c r="S5941" s="1"/>
      <c r="AD5941" s="1"/>
      <c r="AE5941" s="1"/>
    </row>
    <row r="5942" spans="18:31" ht="75" customHeight="1">
      <c r="R5942" s="1"/>
      <c r="S5942" s="1"/>
      <c r="AD5942" s="1"/>
      <c r="AE5942" s="1"/>
    </row>
    <row r="5943" spans="18:31" ht="75" customHeight="1">
      <c r="R5943" s="1"/>
      <c r="S5943" s="1"/>
      <c r="AD5943" s="1"/>
      <c r="AE5943" s="1"/>
    </row>
    <row r="5944" spans="18:31" ht="75" customHeight="1">
      <c r="R5944" s="1"/>
      <c r="S5944" s="1"/>
      <c r="AD5944" s="1"/>
      <c r="AE5944" s="1"/>
    </row>
    <row r="5945" spans="18:31" ht="75" customHeight="1">
      <c r="R5945" s="1"/>
      <c r="S5945" s="1"/>
      <c r="AD5945" s="1"/>
      <c r="AE5945" s="1"/>
    </row>
    <row r="5946" spans="18:31" ht="75" customHeight="1">
      <c r="R5946" s="1"/>
      <c r="S5946" s="1"/>
      <c r="AD5946" s="1"/>
      <c r="AE5946" s="1"/>
    </row>
    <row r="5947" spans="18:31" ht="75" customHeight="1">
      <c r="R5947" s="1"/>
      <c r="S5947" s="1"/>
      <c r="AD5947" s="1"/>
      <c r="AE5947" s="1"/>
    </row>
    <row r="5948" spans="18:31" ht="75" customHeight="1">
      <c r="R5948" s="1"/>
      <c r="S5948" s="1"/>
      <c r="AD5948" s="1"/>
      <c r="AE5948" s="1"/>
    </row>
    <row r="5949" spans="18:31" ht="75" customHeight="1">
      <c r="R5949" s="1"/>
      <c r="S5949" s="1"/>
      <c r="AD5949" s="1"/>
      <c r="AE5949" s="1"/>
    </row>
    <row r="5950" spans="18:31" ht="75" customHeight="1">
      <c r="R5950" s="1"/>
      <c r="S5950" s="1"/>
      <c r="AD5950" s="1"/>
      <c r="AE5950" s="1"/>
    </row>
    <row r="5951" spans="18:31" ht="75" customHeight="1">
      <c r="R5951" s="1"/>
      <c r="S5951" s="1"/>
      <c r="AD5951" s="1"/>
      <c r="AE5951" s="1"/>
    </row>
    <row r="5952" spans="18:31" ht="75" customHeight="1">
      <c r="R5952" s="1"/>
      <c r="S5952" s="1"/>
      <c r="AD5952" s="1"/>
      <c r="AE5952" s="1"/>
    </row>
    <row r="5953" spans="18:31" ht="75" customHeight="1">
      <c r="R5953" s="1"/>
      <c r="S5953" s="1"/>
      <c r="AD5953" s="1"/>
      <c r="AE5953" s="1"/>
    </row>
    <row r="5954" spans="18:31" ht="75" customHeight="1">
      <c r="R5954" s="1"/>
      <c r="S5954" s="1"/>
      <c r="AD5954" s="1"/>
      <c r="AE5954" s="1"/>
    </row>
    <row r="5955" spans="18:31" ht="75" customHeight="1">
      <c r="R5955" s="1"/>
      <c r="S5955" s="1"/>
      <c r="AD5955" s="1"/>
      <c r="AE5955" s="1"/>
    </row>
    <row r="5956" spans="18:31" ht="75" customHeight="1">
      <c r="R5956" s="1"/>
      <c r="S5956" s="1"/>
      <c r="AD5956" s="1"/>
      <c r="AE5956" s="1"/>
    </row>
    <row r="5957" spans="18:31" ht="75" customHeight="1">
      <c r="R5957" s="1"/>
      <c r="S5957" s="1"/>
      <c r="AD5957" s="1"/>
      <c r="AE5957" s="1"/>
    </row>
    <row r="5958" spans="18:31" ht="75" customHeight="1">
      <c r="R5958" s="1"/>
      <c r="S5958" s="1"/>
      <c r="AD5958" s="1"/>
      <c r="AE5958" s="1"/>
    </row>
    <row r="5959" spans="18:31" ht="75" customHeight="1">
      <c r="R5959" s="1"/>
      <c r="S5959" s="1"/>
      <c r="AD5959" s="1"/>
      <c r="AE5959" s="1"/>
    </row>
    <row r="5960" spans="18:31" ht="75" customHeight="1">
      <c r="R5960" s="1"/>
      <c r="S5960" s="1"/>
      <c r="AD5960" s="1"/>
      <c r="AE5960" s="1"/>
    </row>
    <row r="5961" spans="18:31" ht="75" customHeight="1">
      <c r="R5961" s="1"/>
      <c r="S5961" s="1"/>
      <c r="AD5961" s="1"/>
      <c r="AE5961" s="1"/>
    </row>
    <row r="5962" spans="18:31" ht="75" customHeight="1">
      <c r="R5962" s="1"/>
      <c r="S5962" s="1"/>
      <c r="AD5962" s="1"/>
      <c r="AE5962" s="1"/>
    </row>
    <row r="5963" spans="18:31" ht="75" customHeight="1">
      <c r="R5963" s="1"/>
      <c r="S5963" s="1"/>
      <c r="AD5963" s="1"/>
      <c r="AE5963" s="1"/>
    </row>
    <row r="5964" spans="18:31" ht="75" customHeight="1">
      <c r="R5964" s="1"/>
      <c r="S5964" s="1"/>
      <c r="AD5964" s="1"/>
      <c r="AE5964" s="1"/>
    </row>
    <row r="5965" spans="18:31" ht="75" customHeight="1">
      <c r="R5965" s="1"/>
      <c r="S5965" s="1"/>
      <c r="AD5965" s="1"/>
      <c r="AE5965" s="1"/>
    </row>
    <row r="5966" spans="18:31" ht="75" customHeight="1">
      <c r="R5966" s="1"/>
      <c r="S5966" s="1"/>
      <c r="AD5966" s="1"/>
      <c r="AE5966" s="1"/>
    </row>
    <row r="5967" spans="18:31" ht="75" customHeight="1">
      <c r="R5967" s="1"/>
      <c r="S5967" s="1"/>
      <c r="AD5967" s="1"/>
      <c r="AE5967" s="1"/>
    </row>
    <row r="5968" spans="18:31" ht="75" customHeight="1">
      <c r="R5968" s="1"/>
      <c r="S5968" s="1"/>
      <c r="AD5968" s="1"/>
      <c r="AE5968" s="1"/>
    </row>
    <row r="5969" spans="18:31" ht="75" customHeight="1">
      <c r="R5969" s="1"/>
      <c r="S5969" s="1"/>
      <c r="AD5969" s="1"/>
      <c r="AE5969" s="1"/>
    </row>
    <row r="5970" spans="18:31" ht="75" customHeight="1">
      <c r="R5970" s="1"/>
      <c r="S5970" s="1"/>
      <c r="AD5970" s="1"/>
      <c r="AE5970" s="1"/>
    </row>
    <row r="5971" spans="18:31" ht="75" customHeight="1">
      <c r="R5971" s="1"/>
      <c r="S5971" s="1"/>
      <c r="AD5971" s="1"/>
      <c r="AE5971" s="1"/>
    </row>
    <row r="5972" spans="18:31" ht="75" customHeight="1">
      <c r="R5972" s="1"/>
      <c r="S5972" s="1"/>
      <c r="AD5972" s="1"/>
      <c r="AE5972" s="1"/>
    </row>
    <row r="5973" spans="18:31" ht="75" customHeight="1">
      <c r="R5973" s="1"/>
      <c r="S5973" s="1"/>
      <c r="AD5973" s="1"/>
      <c r="AE5973" s="1"/>
    </row>
    <row r="5974" spans="18:31" ht="75" customHeight="1">
      <c r="R5974" s="1"/>
      <c r="S5974" s="1"/>
      <c r="AD5974" s="1"/>
      <c r="AE5974" s="1"/>
    </row>
    <row r="5975" spans="18:31" ht="75" customHeight="1">
      <c r="R5975" s="1"/>
      <c r="S5975" s="1"/>
      <c r="AD5975" s="1"/>
      <c r="AE5975" s="1"/>
    </row>
    <row r="5976" spans="18:31" ht="75" customHeight="1">
      <c r="R5976" s="1"/>
      <c r="S5976" s="1"/>
      <c r="AD5976" s="1"/>
      <c r="AE5976" s="1"/>
    </row>
    <row r="5977" spans="18:31" ht="75" customHeight="1">
      <c r="R5977" s="1"/>
      <c r="S5977" s="1"/>
      <c r="AD5977" s="1"/>
      <c r="AE5977" s="1"/>
    </row>
    <row r="5978" spans="18:31" ht="75" customHeight="1">
      <c r="R5978" s="1"/>
      <c r="S5978" s="1"/>
      <c r="AD5978" s="1"/>
      <c r="AE5978" s="1"/>
    </row>
    <row r="5979" spans="18:31" ht="75" customHeight="1">
      <c r="R5979" s="1"/>
      <c r="S5979" s="1"/>
      <c r="AD5979" s="1"/>
      <c r="AE5979" s="1"/>
    </row>
    <row r="5980" spans="18:31" ht="75" customHeight="1">
      <c r="R5980" s="1"/>
      <c r="S5980" s="1"/>
      <c r="AD5980" s="1"/>
      <c r="AE5980" s="1"/>
    </row>
    <row r="5981" spans="18:31" ht="75" customHeight="1">
      <c r="R5981" s="1"/>
      <c r="S5981" s="1"/>
      <c r="AD5981" s="1"/>
      <c r="AE5981" s="1"/>
    </row>
    <row r="5982" spans="18:31" ht="75" customHeight="1">
      <c r="R5982" s="1"/>
      <c r="S5982" s="1"/>
      <c r="AD5982" s="1"/>
      <c r="AE5982" s="1"/>
    </row>
    <row r="5983" spans="18:31" ht="75" customHeight="1">
      <c r="R5983" s="1"/>
      <c r="S5983" s="1"/>
      <c r="AD5983" s="1"/>
      <c r="AE5983" s="1"/>
    </row>
    <row r="5984" spans="18:31" ht="75" customHeight="1">
      <c r="R5984" s="1"/>
      <c r="S5984" s="1"/>
      <c r="AD5984" s="1"/>
      <c r="AE5984" s="1"/>
    </row>
    <row r="5985" spans="18:31" ht="75" customHeight="1">
      <c r="R5985" s="1"/>
      <c r="S5985" s="1"/>
      <c r="AD5985" s="1"/>
      <c r="AE5985" s="1"/>
    </row>
    <row r="5986" spans="18:31" ht="75" customHeight="1">
      <c r="R5986" s="1"/>
      <c r="S5986" s="1"/>
      <c r="AD5986" s="1"/>
      <c r="AE5986" s="1"/>
    </row>
    <row r="5987" spans="18:31" ht="75" customHeight="1">
      <c r="R5987" s="1"/>
      <c r="S5987" s="1"/>
      <c r="AD5987" s="1"/>
      <c r="AE5987" s="1"/>
    </row>
    <row r="5988" spans="18:31" ht="75" customHeight="1">
      <c r="R5988" s="1"/>
      <c r="S5988" s="1"/>
      <c r="AD5988" s="1"/>
      <c r="AE5988" s="1"/>
    </row>
    <row r="5989" spans="18:31" ht="75" customHeight="1">
      <c r="R5989" s="1"/>
      <c r="S5989" s="1"/>
      <c r="AD5989" s="1"/>
      <c r="AE5989" s="1"/>
    </row>
    <row r="5990" spans="18:31" ht="75" customHeight="1">
      <c r="R5990" s="1"/>
      <c r="S5990" s="1"/>
      <c r="AD5990" s="1"/>
      <c r="AE5990" s="1"/>
    </row>
    <row r="5991" spans="18:31" ht="75" customHeight="1">
      <c r="R5991" s="1"/>
      <c r="S5991" s="1"/>
      <c r="AD5991" s="1"/>
      <c r="AE5991" s="1"/>
    </row>
    <row r="5992" spans="18:31" ht="75" customHeight="1">
      <c r="R5992" s="1"/>
      <c r="S5992" s="1"/>
      <c r="AD5992" s="1"/>
      <c r="AE5992" s="1"/>
    </row>
    <row r="5993" spans="18:31" ht="75" customHeight="1">
      <c r="R5993" s="1"/>
      <c r="S5993" s="1"/>
      <c r="AD5993" s="1"/>
      <c r="AE5993" s="1"/>
    </row>
    <row r="5994" spans="18:31" ht="75" customHeight="1">
      <c r="R5994" s="1"/>
      <c r="S5994" s="1"/>
      <c r="AD5994" s="1"/>
      <c r="AE5994" s="1"/>
    </row>
    <row r="5995" spans="18:31" ht="75" customHeight="1">
      <c r="R5995" s="1"/>
      <c r="S5995" s="1"/>
      <c r="AD5995" s="1"/>
      <c r="AE5995" s="1"/>
    </row>
    <row r="5996" spans="18:31" ht="75" customHeight="1">
      <c r="R5996" s="1"/>
      <c r="S5996" s="1"/>
      <c r="AD5996" s="1"/>
      <c r="AE5996" s="1"/>
    </row>
    <row r="5997" spans="18:31" ht="75" customHeight="1">
      <c r="R5997" s="1"/>
      <c r="S5997" s="1"/>
      <c r="AD5997" s="1"/>
      <c r="AE5997" s="1"/>
    </row>
    <row r="5998" spans="18:31" ht="75" customHeight="1">
      <c r="R5998" s="1"/>
      <c r="S5998" s="1"/>
      <c r="AD5998" s="1"/>
      <c r="AE5998" s="1"/>
    </row>
    <row r="5999" spans="18:31" ht="75" customHeight="1">
      <c r="R5999" s="1"/>
      <c r="S5999" s="1"/>
      <c r="AD5999" s="1"/>
      <c r="AE5999" s="1"/>
    </row>
    <row r="6000" spans="18:31" ht="75" customHeight="1">
      <c r="R6000" s="1"/>
      <c r="S6000" s="1"/>
      <c r="AD6000" s="1"/>
      <c r="AE6000" s="1"/>
    </row>
    <row r="6001" spans="18:31" ht="75" customHeight="1">
      <c r="R6001" s="1"/>
      <c r="S6001" s="1"/>
      <c r="AD6001" s="1"/>
      <c r="AE6001" s="1"/>
    </row>
    <row r="6002" spans="18:31" ht="75" customHeight="1">
      <c r="R6002" s="1"/>
      <c r="S6002" s="1"/>
      <c r="AD6002" s="1"/>
      <c r="AE6002" s="1"/>
    </row>
    <row r="6003" spans="18:31" ht="75" customHeight="1">
      <c r="R6003" s="1"/>
      <c r="S6003" s="1"/>
      <c r="AD6003" s="1"/>
      <c r="AE6003" s="1"/>
    </row>
    <row r="6004" spans="18:31" ht="75" customHeight="1">
      <c r="R6004" s="1"/>
      <c r="S6004" s="1"/>
      <c r="AD6004" s="1"/>
      <c r="AE6004" s="1"/>
    </row>
    <row r="6005" spans="18:31" ht="75" customHeight="1">
      <c r="R6005" s="1"/>
      <c r="S6005" s="1"/>
      <c r="AD6005" s="1"/>
      <c r="AE6005" s="1"/>
    </row>
    <row r="6006" spans="18:31" ht="75" customHeight="1">
      <c r="R6006" s="1"/>
      <c r="S6006" s="1"/>
      <c r="AD6006" s="1"/>
      <c r="AE6006" s="1"/>
    </row>
    <row r="6007" spans="18:31" ht="75" customHeight="1">
      <c r="R6007" s="1"/>
      <c r="S6007" s="1"/>
      <c r="AD6007" s="1"/>
      <c r="AE6007" s="1"/>
    </row>
    <row r="6008" spans="18:31" ht="75" customHeight="1">
      <c r="R6008" s="1"/>
      <c r="S6008" s="1"/>
      <c r="AD6008" s="1"/>
      <c r="AE6008" s="1"/>
    </row>
    <row r="6009" spans="18:31" ht="75" customHeight="1">
      <c r="R6009" s="1"/>
      <c r="S6009" s="1"/>
      <c r="AD6009" s="1"/>
      <c r="AE6009" s="1"/>
    </row>
    <row r="6010" spans="18:31" ht="75" customHeight="1">
      <c r="R6010" s="1"/>
      <c r="S6010" s="1"/>
      <c r="AD6010" s="1"/>
      <c r="AE6010" s="1"/>
    </row>
    <row r="6011" spans="18:31" ht="75" customHeight="1">
      <c r="R6011" s="1"/>
      <c r="S6011" s="1"/>
      <c r="AD6011" s="1"/>
      <c r="AE6011" s="1"/>
    </row>
    <row r="6012" spans="18:31" ht="75" customHeight="1">
      <c r="R6012" s="1"/>
      <c r="S6012" s="1"/>
      <c r="AD6012" s="1"/>
      <c r="AE6012" s="1"/>
    </row>
    <row r="6013" spans="18:31" ht="75" customHeight="1">
      <c r="R6013" s="1"/>
      <c r="S6013" s="1"/>
      <c r="AD6013" s="1"/>
      <c r="AE6013" s="1"/>
    </row>
    <row r="6014" spans="18:31" ht="75" customHeight="1">
      <c r="R6014" s="1"/>
      <c r="S6014" s="1"/>
      <c r="AD6014" s="1"/>
      <c r="AE6014" s="1"/>
    </row>
    <row r="6015" spans="18:31" ht="75" customHeight="1">
      <c r="R6015" s="1"/>
      <c r="S6015" s="1"/>
      <c r="AD6015" s="1"/>
      <c r="AE6015" s="1"/>
    </row>
    <row r="6016" spans="18:31" ht="75" customHeight="1">
      <c r="R6016" s="1"/>
      <c r="S6016" s="1"/>
      <c r="AD6016" s="1"/>
      <c r="AE6016" s="1"/>
    </row>
    <row r="6017" spans="18:31" ht="75" customHeight="1">
      <c r="R6017" s="1"/>
      <c r="S6017" s="1"/>
      <c r="AD6017" s="1"/>
      <c r="AE6017" s="1"/>
    </row>
    <row r="6018" spans="18:31" ht="75" customHeight="1">
      <c r="R6018" s="1"/>
      <c r="S6018" s="1"/>
      <c r="AD6018" s="1"/>
      <c r="AE6018" s="1"/>
    </row>
    <row r="6019" spans="18:31" ht="75" customHeight="1">
      <c r="R6019" s="1"/>
      <c r="S6019" s="1"/>
      <c r="AD6019" s="1"/>
      <c r="AE6019" s="1"/>
    </row>
    <row r="6020" spans="18:31" ht="75" customHeight="1">
      <c r="R6020" s="1"/>
      <c r="S6020" s="1"/>
      <c r="AD6020" s="1"/>
      <c r="AE6020" s="1"/>
    </row>
    <row r="6021" spans="18:31" ht="75" customHeight="1">
      <c r="R6021" s="1"/>
      <c r="S6021" s="1"/>
      <c r="AD6021" s="1"/>
      <c r="AE6021" s="1"/>
    </row>
    <row r="6022" spans="18:31" ht="75" customHeight="1">
      <c r="R6022" s="1"/>
      <c r="S6022" s="1"/>
      <c r="AD6022" s="1"/>
      <c r="AE6022" s="1"/>
    </row>
    <row r="6023" spans="18:31" ht="75" customHeight="1">
      <c r="R6023" s="1"/>
      <c r="S6023" s="1"/>
      <c r="AD6023" s="1"/>
      <c r="AE6023" s="1"/>
    </row>
    <row r="6024" spans="18:31" ht="75" customHeight="1">
      <c r="R6024" s="1"/>
      <c r="S6024" s="1"/>
      <c r="AD6024" s="1"/>
      <c r="AE6024" s="1"/>
    </row>
    <row r="6025" spans="18:31" ht="75" customHeight="1">
      <c r="R6025" s="1"/>
      <c r="S6025" s="1"/>
      <c r="AD6025" s="1"/>
      <c r="AE6025" s="1"/>
    </row>
    <row r="6026" spans="18:31" ht="75" customHeight="1">
      <c r="R6026" s="1"/>
      <c r="S6026" s="1"/>
      <c r="AD6026" s="1"/>
      <c r="AE6026" s="1"/>
    </row>
    <row r="6027" spans="18:31" ht="75" customHeight="1">
      <c r="R6027" s="1"/>
      <c r="S6027" s="1"/>
      <c r="AD6027" s="1"/>
      <c r="AE6027" s="1"/>
    </row>
    <row r="6028" spans="18:31" ht="75" customHeight="1">
      <c r="R6028" s="1"/>
      <c r="S6028" s="1"/>
      <c r="AD6028" s="1"/>
      <c r="AE6028" s="1"/>
    </row>
    <row r="6029" spans="18:31" ht="75" customHeight="1">
      <c r="R6029" s="1"/>
      <c r="S6029" s="1"/>
      <c r="AD6029" s="1"/>
      <c r="AE6029" s="1"/>
    </row>
    <row r="6030" spans="18:31" ht="75" customHeight="1">
      <c r="R6030" s="1"/>
      <c r="S6030" s="1"/>
      <c r="AD6030" s="1"/>
      <c r="AE6030" s="1"/>
    </row>
    <row r="6031" spans="18:31" ht="75" customHeight="1">
      <c r="R6031" s="1"/>
      <c r="S6031" s="1"/>
      <c r="AD6031" s="1"/>
      <c r="AE6031" s="1"/>
    </row>
    <row r="6032" spans="18:31" ht="75" customHeight="1">
      <c r="R6032" s="1"/>
      <c r="S6032" s="1"/>
      <c r="AD6032" s="1"/>
      <c r="AE6032" s="1"/>
    </row>
    <row r="6033" spans="18:31" ht="75" customHeight="1">
      <c r="R6033" s="1"/>
      <c r="S6033" s="1"/>
      <c r="AD6033" s="1"/>
      <c r="AE6033" s="1"/>
    </row>
    <row r="6034" spans="18:31" ht="75" customHeight="1">
      <c r="R6034" s="1"/>
      <c r="S6034" s="1"/>
      <c r="AD6034" s="1"/>
      <c r="AE6034" s="1"/>
    </row>
    <row r="6035" spans="18:31" ht="75" customHeight="1">
      <c r="R6035" s="1"/>
      <c r="S6035" s="1"/>
      <c r="AD6035" s="1"/>
      <c r="AE6035" s="1"/>
    </row>
    <row r="6036" spans="18:31" ht="75" customHeight="1">
      <c r="R6036" s="1"/>
      <c r="S6036" s="1"/>
      <c r="AD6036" s="1"/>
      <c r="AE6036" s="1"/>
    </row>
    <row r="6037" spans="18:31" ht="75" customHeight="1">
      <c r="R6037" s="1"/>
      <c r="S6037" s="1"/>
      <c r="AD6037" s="1"/>
      <c r="AE6037" s="1"/>
    </row>
    <row r="6038" spans="18:31" ht="75" customHeight="1">
      <c r="R6038" s="1"/>
      <c r="S6038" s="1"/>
      <c r="AD6038" s="1"/>
      <c r="AE6038" s="1"/>
    </row>
    <row r="6039" spans="18:31" ht="75" customHeight="1">
      <c r="R6039" s="1"/>
      <c r="S6039" s="1"/>
      <c r="AD6039" s="1"/>
      <c r="AE6039" s="1"/>
    </row>
    <row r="6040" spans="18:31" ht="75" customHeight="1">
      <c r="R6040" s="1"/>
      <c r="S6040" s="1"/>
      <c r="AD6040" s="1"/>
      <c r="AE6040" s="1"/>
    </row>
    <row r="6041" spans="18:31" ht="75" customHeight="1">
      <c r="R6041" s="1"/>
      <c r="S6041" s="1"/>
      <c r="AD6041" s="1"/>
      <c r="AE6041" s="1"/>
    </row>
    <row r="6042" spans="18:31" ht="75" customHeight="1">
      <c r="R6042" s="1"/>
      <c r="S6042" s="1"/>
      <c r="AD6042" s="1"/>
      <c r="AE6042" s="1"/>
    </row>
    <row r="6043" spans="18:31" ht="75" customHeight="1">
      <c r="R6043" s="1"/>
      <c r="S6043" s="1"/>
      <c r="AD6043" s="1"/>
      <c r="AE6043" s="1"/>
    </row>
    <row r="6044" spans="18:31" ht="75" customHeight="1">
      <c r="R6044" s="1"/>
      <c r="S6044" s="1"/>
      <c r="AD6044" s="1"/>
      <c r="AE6044" s="1"/>
    </row>
    <row r="6045" spans="18:31" ht="75" customHeight="1">
      <c r="R6045" s="1"/>
      <c r="S6045" s="1"/>
      <c r="AD6045" s="1"/>
      <c r="AE6045" s="1"/>
    </row>
    <row r="6046" spans="18:31" ht="75" customHeight="1">
      <c r="R6046" s="1"/>
      <c r="S6046" s="1"/>
      <c r="AD6046" s="1"/>
      <c r="AE6046" s="1"/>
    </row>
    <row r="6047" spans="18:31" ht="75" customHeight="1">
      <c r="R6047" s="1"/>
      <c r="S6047" s="1"/>
      <c r="AD6047" s="1"/>
      <c r="AE6047" s="1"/>
    </row>
    <row r="6048" spans="18:31" ht="75" customHeight="1">
      <c r="R6048" s="1"/>
      <c r="S6048" s="1"/>
      <c r="AD6048" s="1"/>
      <c r="AE6048" s="1"/>
    </row>
    <row r="6049" spans="18:31" ht="75" customHeight="1">
      <c r="R6049" s="1"/>
      <c r="S6049" s="1"/>
      <c r="AD6049" s="1"/>
      <c r="AE6049" s="1"/>
    </row>
    <row r="6050" spans="18:31" ht="75" customHeight="1">
      <c r="R6050" s="1"/>
      <c r="S6050" s="1"/>
      <c r="AD6050" s="1"/>
      <c r="AE6050" s="1"/>
    </row>
    <row r="6051" spans="18:31" ht="75" customHeight="1">
      <c r="R6051" s="1"/>
      <c r="S6051" s="1"/>
      <c r="AD6051" s="1"/>
      <c r="AE6051" s="1"/>
    </row>
    <row r="6052" spans="18:31" ht="75" customHeight="1">
      <c r="R6052" s="1"/>
      <c r="S6052" s="1"/>
      <c r="AD6052" s="1"/>
      <c r="AE6052" s="1"/>
    </row>
    <row r="6053" spans="18:31" ht="75" customHeight="1">
      <c r="R6053" s="1"/>
      <c r="S6053" s="1"/>
      <c r="AD6053" s="1"/>
      <c r="AE6053" s="1"/>
    </row>
    <row r="6054" spans="18:31" ht="75" customHeight="1">
      <c r="R6054" s="1"/>
      <c r="S6054" s="1"/>
      <c r="AD6054" s="1"/>
      <c r="AE6054" s="1"/>
    </row>
    <row r="6055" spans="18:31" ht="75" customHeight="1">
      <c r="R6055" s="1"/>
      <c r="S6055" s="1"/>
      <c r="AD6055" s="1"/>
      <c r="AE6055" s="1"/>
    </row>
    <row r="6056" spans="18:31" ht="75" customHeight="1">
      <c r="R6056" s="1"/>
      <c r="S6056" s="1"/>
      <c r="AD6056" s="1"/>
      <c r="AE6056" s="1"/>
    </row>
    <row r="6057" spans="18:31" ht="75" customHeight="1">
      <c r="R6057" s="1"/>
      <c r="S6057" s="1"/>
      <c r="AD6057" s="1"/>
      <c r="AE6057" s="1"/>
    </row>
    <row r="6058" spans="18:31" ht="75" customHeight="1">
      <c r="R6058" s="1"/>
      <c r="S6058" s="1"/>
      <c r="AD6058" s="1"/>
      <c r="AE6058" s="1"/>
    </row>
    <row r="6059" spans="18:31" ht="75" customHeight="1">
      <c r="R6059" s="1"/>
      <c r="S6059" s="1"/>
      <c r="AD6059" s="1"/>
      <c r="AE6059" s="1"/>
    </row>
    <row r="6060" spans="18:31" ht="75" customHeight="1">
      <c r="R6060" s="1"/>
      <c r="S6060" s="1"/>
      <c r="AD6060" s="1"/>
      <c r="AE6060" s="1"/>
    </row>
    <row r="6061" spans="18:31" ht="75" customHeight="1">
      <c r="R6061" s="1"/>
      <c r="S6061" s="1"/>
      <c r="AD6061" s="1"/>
      <c r="AE6061" s="1"/>
    </row>
    <row r="6062" spans="18:31" ht="75" customHeight="1">
      <c r="R6062" s="1"/>
      <c r="S6062" s="1"/>
      <c r="AD6062" s="1"/>
      <c r="AE6062" s="1"/>
    </row>
    <row r="6063" spans="18:31" ht="75" customHeight="1">
      <c r="R6063" s="1"/>
      <c r="S6063" s="1"/>
      <c r="AD6063" s="1"/>
      <c r="AE6063" s="1"/>
    </row>
    <row r="6064" spans="18:31" ht="75" customHeight="1">
      <c r="R6064" s="1"/>
      <c r="S6064" s="1"/>
      <c r="AD6064" s="1"/>
      <c r="AE6064" s="1"/>
    </row>
    <row r="6065" spans="18:31" ht="75" customHeight="1">
      <c r="R6065" s="1"/>
      <c r="S6065" s="1"/>
      <c r="AD6065" s="1"/>
      <c r="AE6065" s="1"/>
    </row>
    <row r="6066" spans="18:31" ht="75" customHeight="1">
      <c r="R6066" s="1"/>
      <c r="S6066" s="1"/>
      <c r="AD6066" s="1"/>
      <c r="AE6066" s="1"/>
    </row>
    <row r="6067" spans="18:31" ht="75" customHeight="1">
      <c r="R6067" s="1"/>
      <c r="S6067" s="1"/>
      <c r="AD6067" s="1"/>
      <c r="AE6067" s="1"/>
    </row>
    <row r="6068" spans="18:31" ht="75" customHeight="1">
      <c r="R6068" s="1"/>
      <c r="S6068" s="1"/>
      <c r="AD6068" s="1"/>
      <c r="AE6068" s="1"/>
    </row>
    <row r="6069" spans="18:31" ht="75" customHeight="1">
      <c r="R6069" s="1"/>
      <c r="S6069" s="1"/>
      <c r="AD6069" s="1"/>
      <c r="AE6069" s="1"/>
    </row>
    <row r="6070" spans="18:31" ht="75" customHeight="1">
      <c r="R6070" s="1"/>
      <c r="S6070" s="1"/>
      <c r="AD6070" s="1"/>
      <c r="AE6070" s="1"/>
    </row>
    <row r="6071" spans="18:31" ht="75" customHeight="1">
      <c r="R6071" s="1"/>
      <c r="S6071" s="1"/>
      <c r="AD6071" s="1"/>
      <c r="AE6071" s="1"/>
    </row>
    <row r="6072" spans="18:31" ht="75" customHeight="1">
      <c r="R6072" s="1"/>
      <c r="S6072" s="1"/>
      <c r="AD6072" s="1"/>
      <c r="AE6072" s="1"/>
    </row>
    <row r="6073" spans="18:31" ht="75" customHeight="1">
      <c r="R6073" s="1"/>
      <c r="S6073" s="1"/>
      <c r="AD6073" s="1"/>
      <c r="AE6073" s="1"/>
    </row>
    <row r="6074" spans="18:31" ht="75" customHeight="1">
      <c r="R6074" s="1"/>
      <c r="S6074" s="1"/>
      <c r="AD6074" s="1"/>
      <c r="AE6074" s="1"/>
    </row>
    <row r="6075" spans="18:31" ht="75" customHeight="1">
      <c r="R6075" s="1"/>
      <c r="S6075" s="1"/>
      <c r="AD6075" s="1"/>
      <c r="AE6075" s="1"/>
    </row>
    <row r="6076" spans="18:31" ht="75" customHeight="1">
      <c r="R6076" s="1"/>
      <c r="S6076" s="1"/>
      <c r="AD6076" s="1"/>
      <c r="AE6076" s="1"/>
    </row>
    <row r="6077" spans="18:31" ht="75" customHeight="1">
      <c r="R6077" s="1"/>
      <c r="S6077" s="1"/>
      <c r="AD6077" s="1"/>
      <c r="AE6077" s="1"/>
    </row>
    <row r="6078" spans="18:31" ht="75" customHeight="1">
      <c r="R6078" s="1"/>
      <c r="S6078" s="1"/>
      <c r="AD6078" s="1"/>
      <c r="AE6078" s="1"/>
    </row>
    <row r="6079" spans="18:31" ht="75" customHeight="1">
      <c r="R6079" s="1"/>
      <c r="S6079" s="1"/>
      <c r="AD6079" s="1"/>
      <c r="AE6079" s="1"/>
    </row>
    <row r="6080" spans="18:31" ht="75" customHeight="1">
      <c r="R6080" s="1"/>
      <c r="S6080" s="1"/>
      <c r="AD6080" s="1"/>
      <c r="AE6080" s="1"/>
    </row>
    <row r="6081" spans="18:31" ht="75" customHeight="1">
      <c r="R6081" s="1"/>
      <c r="S6081" s="1"/>
      <c r="AD6081" s="1"/>
      <c r="AE6081" s="1"/>
    </row>
    <row r="6082" spans="18:31" ht="75" customHeight="1">
      <c r="R6082" s="1"/>
      <c r="S6082" s="1"/>
      <c r="AD6082" s="1"/>
      <c r="AE6082" s="1"/>
    </row>
    <row r="6083" spans="18:31" ht="75" customHeight="1">
      <c r="R6083" s="1"/>
      <c r="S6083" s="1"/>
      <c r="AD6083" s="1"/>
      <c r="AE6083" s="1"/>
    </row>
    <row r="6084" spans="18:31" ht="75" customHeight="1">
      <c r="R6084" s="1"/>
      <c r="S6084" s="1"/>
      <c r="AD6084" s="1"/>
      <c r="AE6084" s="1"/>
    </row>
    <row r="6085" spans="18:31" ht="75" customHeight="1">
      <c r="R6085" s="1"/>
      <c r="S6085" s="1"/>
      <c r="AD6085" s="1"/>
      <c r="AE6085" s="1"/>
    </row>
    <row r="6086" spans="18:31" ht="75" customHeight="1">
      <c r="R6086" s="1"/>
      <c r="S6086" s="1"/>
      <c r="AD6086" s="1"/>
      <c r="AE6086" s="1"/>
    </row>
    <row r="6087" spans="18:31" ht="75" customHeight="1">
      <c r="R6087" s="1"/>
      <c r="S6087" s="1"/>
      <c r="AD6087" s="1"/>
      <c r="AE6087" s="1"/>
    </row>
    <row r="6088" spans="18:31" ht="75" customHeight="1">
      <c r="R6088" s="1"/>
      <c r="S6088" s="1"/>
      <c r="AD6088" s="1"/>
      <c r="AE6088" s="1"/>
    </row>
    <row r="6089" spans="18:31" ht="75" customHeight="1">
      <c r="R6089" s="1"/>
      <c r="S6089" s="1"/>
      <c r="AD6089" s="1"/>
      <c r="AE6089" s="1"/>
    </row>
    <row r="6090" spans="18:31" ht="75" customHeight="1">
      <c r="R6090" s="1"/>
      <c r="S6090" s="1"/>
      <c r="AD6090" s="1"/>
      <c r="AE6090" s="1"/>
    </row>
    <row r="6091" spans="18:31" ht="75" customHeight="1">
      <c r="R6091" s="1"/>
      <c r="S6091" s="1"/>
      <c r="AD6091" s="1"/>
      <c r="AE6091" s="1"/>
    </row>
    <row r="6092" spans="18:31" ht="75" customHeight="1">
      <c r="R6092" s="1"/>
      <c r="S6092" s="1"/>
      <c r="AD6092" s="1"/>
      <c r="AE6092" s="1"/>
    </row>
    <row r="6093" spans="18:31" ht="75" customHeight="1">
      <c r="R6093" s="1"/>
      <c r="S6093" s="1"/>
      <c r="AD6093" s="1"/>
      <c r="AE6093" s="1"/>
    </row>
    <row r="6094" spans="18:31" ht="75" customHeight="1">
      <c r="R6094" s="1"/>
      <c r="S6094" s="1"/>
      <c r="AD6094" s="1"/>
      <c r="AE6094" s="1"/>
    </row>
    <row r="6095" spans="18:31" ht="75" customHeight="1">
      <c r="R6095" s="1"/>
      <c r="S6095" s="1"/>
      <c r="AD6095" s="1"/>
      <c r="AE6095" s="1"/>
    </row>
    <row r="6096" spans="18:31" ht="75" customHeight="1">
      <c r="R6096" s="1"/>
      <c r="S6096" s="1"/>
      <c r="AD6096" s="1"/>
      <c r="AE6096" s="1"/>
    </row>
    <row r="6097" spans="18:31" ht="75" customHeight="1">
      <c r="R6097" s="1"/>
      <c r="S6097" s="1"/>
      <c r="AD6097" s="1"/>
      <c r="AE6097" s="1"/>
    </row>
    <row r="6098" spans="18:31" ht="75" customHeight="1">
      <c r="R6098" s="1"/>
      <c r="S6098" s="1"/>
      <c r="AD6098" s="1"/>
      <c r="AE6098" s="1"/>
    </row>
    <row r="6099" spans="18:31" ht="75" customHeight="1">
      <c r="R6099" s="1"/>
      <c r="S6099" s="1"/>
      <c r="AD6099" s="1"/>
      <c r="AE6099" s="1"/>
    </row>
    <row r="6100" spans="18:31" ht="75" customHeight="1">
      <c r="R6100" s="1"/>
      <c r="S6100" s="1"/>
      <c r="AD6100" s="1"/>
      <c r="AE6100" s="1"/>
    </row>
    <row r="6101" spans="18:31" ht="75" customHeight="1">
      <c r="R6101" s="1"/>
      <c r="S6101" s="1"/>
      <c r="AD6101" s="1"/>
      <c r="AE6101" s="1"/>
    </row>
    <row r="6102" spans="18:31" ht="75" customHeight="1">
      <c r="R6102" s="1"/>
      <c r="S6102" s="1"/>
      <c r="AD6102" s="1"/>
      <c r="AE6102" s="1"/>
    </row>
    <row r="6103" spans="18:31" ht="75" customHeight="1">
      <c r="R6103" s="1"/>
      <c r="S6103" s="1"/>
      <c r="AD6103" s="1"/>
      <c r="AE6103" s="1"/>
    </row>
    <row r="6104" spans="18:31" ht="75" customHeight="1">
      <c r="R6104" s="1"/>
      <c r="S6104" s="1"/>
      <c r="AD6104" s="1"/>
      <c r="AE6104" s="1"/>
    </row>
    <row r="6105" spans="18:31" ht="75" customHeight="1">
      <c r="R6105" s="1"/>
      <c r="S6105" s="1"/>
      <c r="AD6105" s="1"/>
      <c r="AE6105" s="1"/>
    </row>
    <row r="6106" spans="18:31" ht="75" customHeight="1">
      <c r="R6106" s="1"/>
      <c r="S6106" s="1"/>
      <c r="AD6106" s="1"/>
      <c r="AE6106" s="1"/>
    </row>
    <row r="6107" spans="18:31" ht="75" customHeight="1">
      <c r="R6107" s="1"/>
      <c r="S6107" s="1"/>
      <c r="AD6107" s="1"/>
      <c r="AE6107" s="1"/>
    </row>
    <row r="6108" spans="18:31" ht="75" customHeight="1">
      <c r="R6108" s="1"/>
      <c r="S6108" s="1"/>
      <c r="AD6108" s="1"/>
      <c r="AE6108" s="1"/>
    </row>
    <row r="6109" spans="18:31" ht="75" customHeight="1">
      <c r="R6109" s="1"/>
      <c r="S6109" s="1"/>
      <c r="AD6109" s="1"/>
      <c r="AE6109" s="1"/>
    </row>
    <row r="6110" spans="18:31" ht="75" customHeight="1">
      <c r="R6110" s="1"/>
      <c r="S6110" s="1"/>
      <c r="AD6110" s="1"/>
      <c r="AE6110" s="1"/>
    </row>
    <row r="6111" spans="18:31" ht="75" customHeight="1">
      <c r="R6111" s="1"/>
      <c r="S6111" s="1"/>
      <c r="AD6111" s="1"/>
      <c r="AE6111" s="1"/>
    </row>
    <row r="6112" spans="18:31" ht="75" customHeight="1">
      <c r="R6112" s="1"/>
      <c r="S6112" s="1"/>
      <c r="AD6112" s="1"/>
      <c r="AE6112" s="1"/>
    </row>
    <row r="6113" spans="18:31" ht="75" customHeight="1">
      <c r="R6113" s="1"/>
      <c r="S6113" s="1"/>
      <c r="AD6113" s="1"/>
      <c r="AE6113" s="1"/>
    </row>
    <row r="6114" spans="18:31" ht="75" customHeight="1">
      <c r="R6114" s="1"/>
      <c r="S6114" s="1"/>
      <c r="AD6114" s="1"/>
      <c r="AE6114" s="1"/>
    </row>
    <row r="6115" spans="18:31" ht="75" customHeight="1">
      <c r="R6115" s="1"/>
      <c r="S6115" s="1"/>
      <c r="AD6115" s="1"/>
      <c r="AE6115" s="1"/>
    </row>
    <row r="6116" spans="18:31" ht="75" customHeight="1">
      <c r="R6116" s="1"/>
      <c r="S6116" s="1"/>
      <c r="AD6116" s="1"/>
      <c r="AE6116" s="1"/>
    </row>
    <row r="6117" spans="18:31" ht="75" customHeight="1">
      <c r="R6117" s="1"/>
      <c r="S6117" s="1"/>
      <c r="AD6117" s="1"/>
      <c r="AE6117" s="1"/>
    </row>
    <row r="6118" spans="18:31" ht="75" customHeight="1">
      <c r="R6118" s="1"/>
      <c r="S6118" s="1"/>
      <c r="AD6118" s="1"/>
      <c r="AE6118" s="1"/>
    </row>
    <row r="6119" spans="18:31" ht="75" customHeight="1">
      <c r="R6119" s="1"/>
      <c r="S6119" s="1"/>
      <c r="AD6119" s="1"/>
      <c r="AE6119" s="1"/>
    </row>
    <row r="6120" spans="18:31" ht="75" customHeight="1">
      <c r="R6120" s="1"/>
      <c r="S6120" s="1"/>
      <c r="AD6120" s="1"/>
      <c r="AE6120" s="1"/>
    </row>
    <row r="6121" spans="18:31" ht="75" customHeight="1">
      <c r="R6121" s="1"/>
      <c r="S6121" s="1"/>
      <c r="AD6121" s="1"/>
      <c r="AE6121" s="1"/>
    </row>
    <row r="6122" spans="18:31" ht="75" customHeight="1">
      <c r="R6122" s="1"/>
      <c r="S6122" s="1"/>
      <c r="AD6122" s="1"/>
      <c r="AE6122" s="1"/>
    </row>
    <row r="6123" spans="18:31" ht="75" customHeight="1">
      <c r="R6123" s="1"/>
      <c r="S6123" s="1"/>
      <c r="AD6123" s="1"/>
      <c r="AE6123" s="1"/>
    </row>
    <row r="6124" spans="18:31" ht="75" customHeight="1">
      <c r="R6124" s="1"/>
      <c r="S6124" s="1"/>
      <c r="AD6124" s="1"/>
      <c r="AE6124" s="1"/>
    </row>
    <row r="6125" spans="18:31" ht="75" customHeight="1">
      <c r="R6125" s="1"/>
      <c r="S6125" s="1"/>
      <c r="AD6125" s="1"/>
      <c r="AE6125" s="1"/>
    </row>
    <row r="6126" spans="18:31" ht="75" customHeight="1">
      <c r="R6126" s="1"/>
      <c r="S6126" s="1"/>
      <c r="AD6126" s="1"/>
      <c r="AE6126" s="1"/>
    </row>
    <row r="6127" spans="18:31" ht="75" customHeight="1">
      <c r="R6127" s="1"/>
      <c r="S6127" s="1"/>
      <c r="AD6127" s="1"/>
      <c r="AE6127" s="1"/>
    </row>
    <row r="6128" spans="18:31" ht="75" customHeight="1">
      <c r="R6128" s="1"/>
      <c r="S6128" s="1"/>
      <c r="AD6128" s="1"/>
      <c r="AE6128" s="1"/>
    </row>
    <row r="6129" spans="18:31" ht="75" customHeight="1">
      <c r="R6129" s="1"/>
      <c r="S6129" s="1"/>
      <c r="AD6129" s="1"/>
      <c r="AE6129" s="1"/>
    </row>
    <row r="6130" spans="18:31" ht="75" customHeight="1">
      <c r="R6130" s="1"/>
      <c r="S6130" s="1"/>
      <c r="AD6130" s="1"/>
      <c r="AE6130" s="1"/>
    </row>
    <row r="6131" spans="18:31" ht="75" customHeight="1">
      <c r="R6131" s="1"/>
      <c r="S6131" s="1"/>
      <c r="AD6131" s="1"/>
      <c r="AE6131" s="1"/>
    </row>
    <row r="6132" spans="18:31" ht="75" customHeight="1">
      <c r="R6132" s="1"/>
      <c r="S6132" s="1"/>
      <c r="AD6132" s="1"/>
      <c r="AE6132" s="1"/>
    </row>
    <row r="6133" spans="18:31" ht="75" customHeight="1">
      <c r="R6133" s="1"/>
      <c r="S6133" s="1"/>
      <c r="AD6133" s="1"/>
      <c r="AE6133" s="1"/>
    </row>
    <row r="6134" spans="18:31" ht="75" customHeight="1">
      <c r="R6134" s="1"/>
      <c r="S6134" s="1"/>
      <c r="AD6134" s="1"/>
      <c r="AE6134" s="1"/>
    </row>
    <row r="6135" spans="18:31" ht="75" customHeight="1">
      <c r="R6135" s="1"/>
      <c r="S6135" s="1"/>
      <c r="AD6135" s="1"/>
      <c r="AE6135" s="1"/>
    </row>
    <row r="6136" spans="18:31" ht="75" customHeight="1">
      <c r="R6136" s="1"/>
      <c r="S6136" s="1"/>
      <c r="AD6136" s="1"/>
      <c r="AE6136" s="1"/>
    </row>
    <row r="6137" spans="18:31" ht="75" customHeight="1">
      <c r="R6137" s="1"/>
      <c r="S6137" s="1"/>
      <c r="AD6137" s="1"/>
      <c r="AE6137" s="1"/>
    </row>
    <row r="6138" spans="18:31" ht="75" customHeight="1">
      <c r="R6138" s="1"/>
      <c r="S6138" s="1"/>
      <c r="AD6138" s="1"/>
      <c r="AE6138" s="1"/>
    </row>
    <row r="6139" spans="18:31" ht="75" customHeight="1">
      <c r="R6139" s="1"/>
      <c r="S6139" s="1"/>
      <c r="AD6139" s="1"/>
      <c r="AE6139" s="1"/>
    </row>
    <row r="6140" spans="18:31" ht="75" customHeight="1">
      <c r="R6140" s="1"/>
      <c r="S6140" s="1"/>
      <c r="AD6140" s="1"/>
      <c r="AE6140" s="1"/>
    </row>
    <row r="6141" spans="18:31" ht="75" customHeight="1">
      <c r="R6141" s="1"/>
      <c r="S6141" s="1"/>
      <c r="AD6141" s="1"/>
      <c r="AE6141" s="1"/>
    </row>
    <row r="6142" spans="18:31" ht="75" customHeight="1">
      <c r="R6142" s="1"/>
      <c r="S6142" s="1"/>
      <c r="AD6142" s="1"/>
      <c r="AE6142" s="1"/>
    </row>
    <row r="6143" spans="18:31" ht="75" customHeight="1">
      <c r="R6143" s="1"/>
      <c r="S6143" s="1"/>
      <c r="AD6143" s="1"/>
      <c r="AE6143" s="1"/>
    </row>
    <row r="6144" spans="18:31" ht="75" customHeight="1">
      <c r="R6144" s="1"/>
      <c r="S6144" s="1"/>
      <c r="AD6144" s="1"/>
      <c r="AE6144" s="1"/>
    </row>
    <row r="6145" spans="18:31" ht="75" customHeight="1">
      <c r="R6145" s="1"/>
      <c r="S6145" s="1"/>
      <c r="AD6145" s="1"/>
      <c r="AE6145" s="1"/>
    </row>
    <row r="6146" spans="18:31" ht="75" customHeight="1">
      <c r="R6146" s="1"/>
      <c r="S6146" s="1"/>
      <c r="AD6146" s="1"/>
      <c r="AE6146" s="1"/>
    </row>
    <row r="6147" spans="18:31" ht="75" customHeight="1">
      <c r="R6147" s="1"/>
      <c r="S6147" s="1"/>
      <c r="AD6147" s="1"/>
      <c r="AE6147" s="1"/>
    </row>
    <row r="6148" spans="18:31" ht="75" customHeight="1">
      <c r="R6148" s="1"/>
      <c r="S6148" s="1"/>
      <c r="AD6148" s="1"/>
      <c r="AE6148" s="1"/>
    </row>
    <row r="6149" spans="18:31" ht="75" customHeight="1">
      <c r="R6149" s="1"/>
      <c r="S6149" s="1"/>
      <c r="AD6149" s="1"/>
      <c r="AE6149" s="1"/>
    </row>
    <row r="6150" spans="18:31" ht="75" customHeight="1">
      <c r="R6150" s="1"/>
      <c r="S6150" s="1"/>
      <c r="AD6150" s="1"/>
      <c r="AE6150" s="1"/>
    </row>
    <row r="6151" spans="18:31" ht="75" customHeight="1">
      <c r="R6151" s="1"/>
      <c r="S6151" s="1"/>
      <c r="AD6151" s="1"/>
      <c r="AE6151" s="1"/>
    </row>
    <row r="6152" spans="18:31" ht="75" customHeight="1">
      <c r="R6152" s="1"/>
      <c r="S6152" s="1"/>
      <c r="AD6152" s="1"/>
      <c r="AE6152" s="1"/>
    </row>
    <row r="6153" spans="18:31" ht="75" customHeight="1">
      <c r="R6153" s="1"/>
      <c r="S6153" s="1"/>
      <c r="AD6153" s="1"/>
      <c r="AE6153" s="1"/>
    </row>
    <row r="6154" spans="18:31" ht="75" customHeight="1">
      <c r="R6154" s="1"/>
      <c r="S6154" s="1"/>
      <c r="AD6154" s="1"/>
      <c r="AE6154" s="1"/>
    </row>
    <row r="6155" spans="18:31" ht="75" customHeight="1">
      <c r="R6155" s="1"/>
      <c r="S6155" s="1"/>
      <c r="AD6155" s="1"/>
      <c r="AE6155" s="1"/>
    </row>
    <row r="6156" spans="18:31" ht="75" customHeight="1">
      <c r="R6156" s="1"/>
      <c r="S6156" s="1"/>
      <c r="AD6156" s="1"/>
      <c r="AE6156" s="1"/>
    </row>
    <row r="6157" spans="18:31" ht="75" customHeight="1">
      <c r="R6157" s="1"/>
      <c r="S6157" s="1"/>
      <c r="AD6157" s="1"/>
      <c r="AE6157" s="1"/>
    </row>
    <row r="6158" spans="18:31" ht="75" customHeight="1">
      <c r="R6158" s="1"/>
      <c r="S6158" s="1"/>
      <c r="AD6158" s="1"/>
      <c r="AE6158" s="1"/>
    </row>
    <row r="6159" spans="18:31" ht="75" customHeight="1">
      <c r="R6159" s="1"/>
      <c r="S6159" s="1"/>
      <c r="AD6159" s="1"/>
      <c r="AE6159" s="1"/>
    </row>
    <row r="6160" spans="18:31" ht="75" customHeight="1">
      <c r="R6160" s="1"/>
      <c r="S6160" s="1"/>
      <c r="AD6160" s="1"/>
      <c r="AE6160" s="1"/>
    </row>
    <row r="6161" spans="18:31" ht="75" customHeight="1">
      <c r="R6161" s="1"/>
      <c r="S6161" s="1"/>
      <c r="AD6161" s="1"/>
      <c r="AE6161" s="1"/>
    </row>
    <row r="6162" spans="18:31" ht="75" customHeight="1">
      <c r="R6162" s="1"/>
      <c r="S6162" s="1"/>
      <c r="AD6162" s="1"/>
      <c r="AE6162" s="1"/>
    </row>
    <row r="6163" spans="18:31" ht="75" customHeight="1">
      <c r="R6163" s="1"/>
      <c r="S6163" s="1"/>
      <c r="AD6163" s="1"/>
      <c r="AE6163" s="1"/>
    </row>
    <row r="6164" spans="18:31" ht="75" customHeight="1">
      <c r="R6164" s="1"/>
      <c r="S6164" s="1"/>
      <c r="AD6164" s="1"/>
      <c r="AE6164" s="1"/>
    </row>
    <row r="6165" spans="18:31" ht="75" customHeight="1">
      <c r="R6165" s="1"/>
      <c r="S6165" s="1"/>
      <c r="AD6165" s="1"/>
      <c r="AE6165" s="1"/>
    </row>
    <row r="6166" spans="18:31" ht="75" customHeight="1">
      <c r="R6166" s="1"/>
      <c r="S6166" s="1"/>
      <c r="AD6166" s="1"/>
      <c r="AE6166" s="1"/>
    </row>
    <row r="6167" spans="18:31" ht="75" customHeight="1">
      <c r="R6167" s="1"/>
      <c r="S6167" s="1"/>
      <c r="AD6167" s="1"/>
      <c r="AE6167" s="1"/>
    </row>
    <row r="6168" spans="18:31" ht="75" customHeight="1">
      <c r="R6168" s="1"/>
      <c r="S6168" s="1"/>
      <c r="AD6168" s="1"/>
      <c r="AE6168" s="1"/>
    </row>
    <row r="6169" spans="18:31" ht="75" customHeight="1">
      <c r="R6169" s="1"/>
      <c r="S6169" s="1"/>
      <c r="AD6169" s="1"/>
      <c r="AE6169" s="1"/>
    </row>
    <row r="6170" spans="18:31" ht="75" customHeight="1">
      <c r="R6170" s="1"/>
      <c r="S6170" s="1"/>
      <c r="AD6170" s="1"/>
      <c r="AE6170" s="1"/>
    </row>
    <row r="6171" spans="18:31" ht="75" customHeight="1">
      <c r="R6171" s="1"/>
      <c r="S6171" s="1"/>
      <c r="AD6171" s="1"/>
      <c r="AE6171" s="1"/>
    </row>
    <row r="6172" spans="18:31" ht="75" customHeight="1">
      <c r="R6172" s="1"/>
      <c r="S6172" s="1"/>
      <c r="AD6172" s="1"/>
      <c r="AE6172" s="1"/>
    </row>
    <row r="6173" spans="18:31" ht="75" customHeight="1">
      <c r="R6173" s="1"/>
      <c r="S6173" s="1"/>
      <c r="AD6173" s="1"/>
      <c r="AE6173" s="1"/>
    </row>
    <row r="6174" spans="18:31" ht="75" customHeight="1">
      <c r="R6174" s="1"/>
      <c r="S6174" s="1"/>
      <c r="AD6174" s="1"/>
      <c r="AE6174" s="1"/>
    </row>
    <row r="6175" spans="18:31" ht="75" customHeight="1">
      <c r="R6175" s="1"/>
      <c r="S6175" s="1"/>
      <c r="AD6175" s="1"/>
      <c r="AE6175" s="1"/>
    </row>
    <row r="6176" spans="18:31" ht="75" customHeight="1">
      <c r="R6176" s="1"/>
      <c r="S6176" s="1"/>
      <c r="AD6176" s="1"/>
      <c r="AE6176" s="1"/>
    </row>
    <row r="6177" spans="18:31" ht="75" customHeight="1">
      <c r="R6177" s="1"/>
      <c r="S6177" s="1"/>
      <c r="AD6177" s="1"/>
      <c r="AE6177" s="1"/>
    </row>
    <row r="6178" spans="18:31" ht="75" customHeight="1">
      <c r="R6178" s="1"/>
      <c r="S6178" s="1"/>
      <c r="AD6178" s="1"/>
      <c r="AE6178" s="1"/>
    </row>
    <row r="6179" spans="18:31" ht="75" customHeight="1">
      <c r="R6179" s="1"/>
      <c r="S6179" s="1"/>
      <c r="AD6179" s="1"/>
      <c r="AE6179" s="1"/>
    </row>
    <row r="6180" spans="18:31" ht="75" customHeight="1">
      <c r="R6180" s="1"/>
      <c r="S6180" s="1"/>
      <c r="AD6180" s="1"/>
      <c r="AE6180" s="1"/>
    </row>
    <row r="6181" spans="18:31" ht="75" customHeight="1">
      <c r="R6181" s="1"/>
      <c r="S6181" s="1"/>
      <c r="AD6181" s="1"/>
      <c r="AE6181" s="1"/>
    </row>
  </sheetData>
  <autoFilter ref="I1:I6181" xr:uid="{00000000-0009-0000-0000-000000000000}"/>
  <mergeCells count="38">
    <mergeCell ref="B40:H40"/>
    <mergeCell ref="J40:M40"/>
    <mergeCell ref="Q47:R47"/>
    <mergeCell ref="E47:I47"/>
    <mergeCell ref="A46:B46"/>
    <mergeCell ref="K47:N47"/>
    <mergeCell ref="K20:N20"/>
    <mergeCell ref="P40:Q40"/>
    <mergeCell ref="Y20:AC20"/>
    <mergeCell ref="X40:AC40"/>
    <mergeCell ref="R40:V40"/>
    <mergeCell ref="AD19:AF20"/>
    <mergeCell ref="AD39:AE40"/>
    <mergeCell ref="U3:AC3"/>
    <mergeCell ref="Q20:R20"/>
    <mergeCell ref="AD47:AF47"/>
    <mergeCell ref="Y47:AC47"/>
    <mergeCell ref="T20:W20"/>
    <mergeCell ref="AD3:AD4"/>
    <mergeCell ref="T47:W47"/>
    <mergeCell ref="Q3:Q4"/>
    <mergeCell ref="R3:R4"/>
    <mergeCell ref="A1:AE1"/>
    <mergeCell ref="B3:B5"/>
    <mergeCell ref="A18:B18"/>
    <mergeCell ref="F3:F4"/>
    <mergeCell ref="A2:AE2"/>
    <mergeCell ref="AE3:AE4"/>
    <mergeCell ref="K3:P3"/>
    <mergeCell ref="D3:D5"/>
    <mergeCell ref="A3:A5"/>
    <mergeCell ref="C3:C5"/>
    <mergeCell ref="J3:J4"/>
    <mergeCell ref="C20:I20"/>
    <mergeCell ref="E3:E5"/>
    <mergeCell ref="G3:G4"/>
    <mergeCell ref="I3:I4"/>
    <mergeCell ref="H3:H4"/>
  </mergeCells>
  <phoneticPr fontId="18" type="noConversion"/>
  <printOptions horizontalCentered="1"/>
  <pageMargins left="0.25" right="0.25" top="0.75" bottom="0.75" header="0.3" footer="0.3"/>
  <pageSetup paperSize="9" scale="10" fitToHeight="0" orientation="landscape" r:id="rId1"/>
  <headerFooter alignWithMargins="0"/>
  <rowBreaks count="2" manualBreakCount="2">
    <brk id="20" max="30" man="1"/>
    <brk id="40" max="3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المرتبات و حوافر 2- 2025 </vt:lpstr>
      <vt:lpstr>'المرتبات و حوافر 2- 2025 '!Print_Area</vt:lpstr>
      <vt:lpstr>'المرتبات و حوافر 2- 2025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</dc:creator>
  <cp:lastModifiedBy>mohamed abdalah</cp:lastModifiedBy>
  <cp:lastPrinted>2026-02-09T11:22:29Z</cp:lastPrinted>
  <dcterms:created xsi:type="dcterms:W3CDTF">1999-11-24T11:55:49Z</dcterms:created>
  <dcterms:modified xsi:type="dcterms:W3CDTF">2026-03-15T22:03:26Z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eff_file_id">
    <vt:lpwstr>9344ecec-9693-41a4-b41d-f991350028b2</vt:lpwstr>
  </property>
  <property fmtid="{D5CDD505-2E9C-101B-9397-08002B2CF9AE}" pid="3" name="coeff_is_local_file">
    <vt:lpwstr>true</vt:lpwstr>
  </property>
</Properties>
</file>